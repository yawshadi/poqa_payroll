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2_ncr:500000_{6CEBC314-484B-441F-A074-DFB007532BFC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" i="1"/>
  <c r="J24" i="1"/>
  <c r="J4" i="1"/>
  <c r="J5" i="1"/>
  <c r="J6" i="1"/>
  <c r="J7" i="1"/>
  <c r="J8" i="1"/>
  <c r="J9" i="1"/>
  <c r="J10" i="1"/>
  <c r="J11" i="1"/>
  <c r="J12" i="1"/>
  <c r="J13" i="1"/>
  <c r="J16" i="1"/>
  <c r="J17" i="1"/>
  <c r="J18" i="1"/>
  <c r="J19" i="1"/>
  <c r="J20" i="1"/>
  <c r="J21" i="1"/>
  <c r="J22" i="1"/>
  <c r="J23" i="1"/>
  <c r="J3" i="1"/>
  <c r="I4" i="1"/>
  <c r="I5" i="1"/>
  <c r="I6" i="1"/>
  <c r="I7" i="1"/>
  <c r="I8" i="1"/>
  <c r="I9" i="1"/>
  <c r="I10" i="1"/>
  <c r="I11" i="1"/>
  <c r="I12" i="1"/>
  <c r="I13" i="1"/>
  <c r="I16" i="1"/>
  <c r="I17" i="1"/>
  <c r="I18" i="1"/>
  <c r="I19" i="1"/>
  <c r="I20" i="1"/>
  <c r="I21" i="1"/>
  <c r="I22" i="1"/>
  <c r="I23" i="1"/>
  <c r="I3" i="1"/>
  <c r="I24" i="1" l="1"/>
  <c r="K24" i="1" l="1"/>
</calcChain>
</file>

<file path=xl/sharedStrings.xml><?xml version="1.0" encoding="utf-8"?>
<sst xmlns="http://schemas.openxmlformats.org/spreadsheetml/2006/main" count="55" uniqueCount="38">
  <si>
    <t>序号</t>
  </si>
  <si>
    <t>Abraham Teye</t>
  </si>
  <si>
    <t>旗手FLAGMAN</t>
  </si>
  <si>
    <t>HANANIAH TABI</t>
  </si>
  <si>
    <t xml:space="preserve">ERNEST ASEMPAH </t>
  </si>
  <si>
    <t>ISAAC OSEI</t>
  </si>
  <si>
    <t>REXFORD K PEPERAH</t>
  </si>
  <si>
    <t>MICHEAG LOMO</t>
  </si>
  <si>
    <t>CHARLES BAFFOE</t>
  </si>
  <si>
    <t xml:space="preserve">SENANU ATSU GEH </t>
  </si>
  <si>
    <t>BENJAMIN COBBOLD</t>
  </si>
  <si>
    <t>ISAAC GAMADO</t>
  </si>
  <si>
    <t>ALI TAHIRU</t>
  </si>
  <si>
    <t>FRANCIS KUMORDZI</t>
  </si>
  <si>
    <t>SACKEY ERNEST</t>
  </si>
  <si>
    <t>JOSEPH BEKOE</t>
  </si>
  <si>
    <t>WILLIAM A DJAGIR</t>
  </si>
  <si>
    <t>ERIC KWAKU</t>
  </si>
  <si>
    <t>起重工RIGGER</t>
  </si>
  <si>
    <t>ISSIFUL MUSAH</t>
  </si>
  <si>
    <t>EMMANUEL YANKAH</t>
  </si>
  <si>
    <t>IBRAHIM ADAMS</t>
  </si>
  <si>
    <t>推土机BULLDOZER</t>
  </si>
  <si>
    <t>MENSAH GEORGE</t>
  </si>
  <si>
    <t>电工 AUTO Electrician</t>
  </si>
  <si>
    <t>No. of Months</t>
  </si>
  <si>
    <t>No. of Days</t>
    <phoneticPr fontId="2" type="noConversion"/>
  </si>
  <si>
    <t>Months pay</t>
    <phoneticPr fontId="2" type="noConversion"/>
  </si>
  <si>
    <t>Days pay</t>
    <phoneticPr fontId="2" type="noConversion"/>
  </si>
  <si>
    <t>Compensation</t>
    <phoneticPr fontId="2" type="noConversion"/>
  </si>
  <si>
    <t>Basic Salary</t>
    <phoneticPr fontId="2" type="noConversion"/>
  </si>
  <si>
    <t>NAME</t>
    <phoneticPr fontId="2" type="noConversion"/>
  </si>
  <si>
    <t xml:space="preserve"> POSITION</t>
    <phoneticPr fontId="2" type="noConversion"/>
  </si>
  <si>
    <t xml:space="preserve">Approach </t>
    <phoneticPr fontId="2" type="noConversion"/>
  </si>
  <si>
    <t>Ending Date</t>
    <phoneticPr fontId="2" type="noConversion"/>
  </si>
  <si>
    <t xml:space="preserve">NARTEY SIMON </t>
  </si>
  <si>
    <t>防波堤队伍工人遣散费用名单</t>
    <phoneticPr fontId="2" type="noConversion"/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</si>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</sst>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17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幼圆"/>
      <family val="3"/>
      <charset val="134"/>
    </font>
    <font>
      <sz val="10"/>
      <name val="Arial"/>
      <family val="2"/>
    </font>
    <font>
      <u/>
      <sz val="11"/>
      <color theme="1"/>
      <name val="Calibri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u/>
      <sz val="11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"/>
      <name val="微软雅黑"/>
      <family val="2"/>
      <charset val="134"/>
    </font>
    <font>
      <u/>
      <sz val="11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/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164" fontId="0" fillId="0" borderId="0" xfId="0" applyNumberForma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4" fontId="9" fillId="0" borderId="0" xfId="0" applyNumberFormat="1" applyFont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3" fontId="10" fillId="0" borderId="1" xfId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4" fillId="0" borderId="4" xfId="0" applyNumberFormat="1" applyFont="1" applyFill="1" applyBorder="1" applyAlignment="1">
      <alignment horizontal="center" vertical="top"/>
    </xf>
    <xf numFmtId="14" fontId="14" fillId="0" borderId="4" xfId="0" applyNumberFormat="1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43" fontId="14" fillId="0" borderId="1" xfId="0" applyNumberFormat="1" applyFont="1" applyFill="1" applyBorder="1" applyAlignment="1">
      <alignment horizontal="center"/>
    </xf>
    <xf numFmtId="43" fontId="15" fillId="0" borderId="1" xfId="0" applyNumberFormat="1" applyFont="1" applyBorder="1" applyAlignment="1">
      <alignment horizontal="center"/>
    </xf>
    <xf numFmtId="43" fontId="14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43" fontId="10" fillId="0" borderId="1" xfId="1" applyFont="1" applyFill="1" applyBorder="1" applyAlignment="1"/>
    <xf numFmtId="0" fontId="12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/>
    <xf numFmtId="0" fontId="11" fillId="0" borderId="1" xfId="0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43" fontId="7" fillId="0" borderId="1" xfId="1" applyFont="1" applyFill="1" applyBorder="1" applyAlignment="1"/>
    <xf numFmtId="0" fontId="7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43" fontId="7" fillId="2" borderId="1" xfId="1" applyFont="1" applyFill="1" applyBorder="1" applyAlignment="1"/>
    <xf numFmtId="0" fontId="16" fillId="2" borderId="0" xfId="0" applyFont="1" applyFill="1">
      <alignment vertical="center"/>
    </xf>
    <xf numFmtId="0" fontId="16" fillId="0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43" fontId="7" fillId="3" borderId="1" xfId="1" applyFont="1" applyFill="1" applyBorder="1" applyAlignment="1"/>
    <xf numFmtId="0" fontId="16" fillId="3" borderId="0" xfId="0" applyFont="1" applyFill="1">
      <alignment vertical="center"/>
    </xf>
    <xf numFmtId="43" fontId="10" fillId="3" borderId="1" xfId="1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16" fillId="0" borderId="1" xfId="0" applyFont="1" applyBorder="1">
      <alignment vertical="center"/>
    </xf>
    <xf numFmtId="0" fontId="16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6" fillId="0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2">
    <cellStyle name="Comma 2 2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6"/>
  <sheetViews>
    <sheetView tabSelected="1" topLeftCell="B1" zoomScale="93" zoomScaleNormal="93" zoomScaleSheetLayoutView="100" workbookViewId="0">
      <selection activeCell="G8" sqref="G8"/>
    </sheetView>
  </sheetViews>
  <sheetFormatPr defaultColWidth="9" defaultRowHeight="21.95" customHeight="1"/>
  <cols>
    <col min="1" max="1" width="4.5703125" customWidth="1"/>
    <col min="2" max="2" width="25.140625" customWidth="1"/>
    <col min="3" max="3" width="20.42578125" customWidth="1"/>
    <col min="4" max="4" width="14.85546875" customWidth="1"/>
    <col min="5" max="5" width="19" style="21" customWidth="1"/>
    <col min="6" max="6" width="18" style="25" customWidth="1"/>
    <col min="7" max="7" width="14.28515625" style="2" customWidth="1"/>
    <col min="8" max="8" width="15.85546875" style="3" customWidth="1"/>
    <col min="9" max="9" width="17" style="3" customWidth="1"/>
    <col min="10" max="10" width="16" style="4" customWidth="1"/>
    <col min="11" max="11" width="15.5703125" style="4" customWidth="1"/>
    <col min="12" max="12" width="21.7109375" customWidth="1"/>
  </cols>
  <sheetData>
    <row r="1" spans="1:12" s="1" customFormat="1" ht="21.95" customHeight="1">
      <c r="A1" s="48" t="s">
        <v>36</v>
      </c>
      <c r="B1" s="48"/>
      <c r="C1" s="48"/>
      <c r="D1" s="48"/>
      <c r="E1" s="48"/>
      <c r="F1" s="48"/>
      <c r="G1" s="48"/>
      <c r="H1" s="48"/>
      <c r="I1" s="48"/>
      <c r="J1" s="48"/>
      <c r="K1" s="8"/>
    </row>
    <row r="2" spans="1:12" ht="21.95" customHeight="1">
      <c r="A2" s="7" t="s">
        <v>0</v>
      </c>
      <c r="B2" s="7" t="s">
        <v>31</v>
      </c>
      <c r="C2" s="11" t="s">
        <v>32</v>
      </c>
      <c r="D2" s="7" t="s">
        <v>33</v>
      </c>
      <c r="E2" s="12" t="s">
        <v>34</v>
      </c>
      <c r="F2" s="10" t="s">
        <v>30</v>
      </c>
      <c r="G2" s="9" t="s">
        <v>25</v>
      </c>
      <c r="H2" s="9" t="s">
        <v>26</v>
      </c>
      <c r="I2" s="10" t="s">
        <v>27</v>
      </c>
      <c r="J2" s="10" t="s">
        <v>28</v>
      </c>
      <c r="K2" s="10" t="s">
        <v>29</v>
      </c>
      <c r="L2" s="10" t="s">
        <v>37</v>
      </c>
    </row>
    <row r="3" spans="1:12" s="4" customFormat="1" ht="21.95" customHeight="1">
      <c r="A3" s="6">
        <v>1</v>
      </c>
      <c r="B3" s="51" t="s">
        <v>1</v>
      </c>
      <c r="C3" s="16" t="s">
        <v>2</v>
      </c>
      <c r="D3" s="13">
        <v>42775</v>
      </c>
      <c r="E3" s="17">
        <v>43215</v>
      </c>
      <c r="F3" s="26">
        <v>450</v>
      </c>
      <c r="G3" s="14">
        <v>14</v>
      </c>
      <c r="H3" s="14">
        <v>16</v>
      </c>
      <c r="I3" s="15">
        <f>F3/12*G3</f>
        <v>525</v>
      </c>
      <c r="J3" s="15">
        <f>F3/12/20.67*H3</f>
        <v>29.027576197387514</v>
      </c>
      <c r="K3" s="15">
        <f>I3+J3</f>
        <v>554.02757619738748</v>
      </c>
      <c r="L3" s="58"/>
    </row>
    <row r="4" spans="1:12" s="4" customFormat="1" ht="21.95" customHeight="1">
      <c r="A4" s="7">
        <v>2</v>
      </c>
      <c r="B4" s="52" t="s">
        <v>3</v>
      </c>
      <c r="C4" s="11" t="s">
        <v>2</v>
      </c>
      <c r="D4" s="17">
        <v>42809</v>
      </c>
      <c r="E4" s="17">
        <v>43215</v>
      </c>
      <c r="F4" s="26">
        <v>450</v>
      </c>
      <c r="G4" s="10">
        <v>13</v>
      </c>
      <c r="H4" s="10">
        <v>10</v>
      </c>
      <c r="I4" s="15">
        <f t="shared" ref="I4:I23" si="0">F4/12*G4</f>
        <v>487.5</v>
      </c>
      <c r="J4" s="15">
        <f t="shared" ref="J4:J23" si="1">F4/12/20.67*H4</f>
        <v>18.142235123367197</v>
      </c>
      <c r="K4" s="15">
        <f t="shared" ref="K4:K23" si="2">I4+J4</f>
        <v>505.64223512336719</v>
      </c>
      <c r="L4" s="58"/>
    </row>
    <row r="5" spans="1:12" s="35" customFormat="1" ht="21.95" customHeight="1">
      <c r="A5" s="16">
        <v>3</v>
      </c>
      <c r="B5" s="53" t="s">
        <v>4</v>
      </c>
      <c r="C5" s="11" t="s">
        <v>2</v>
      </c>
      <c r="D5" s="32">
        <v>42846</v>
      </c>
      <c r="E5" s="32">
        <v>43215</v>
      </c>
      <c r="F5" s="33">
        <v>450</v>
      </c>
      <c r="G5" s="34">
        <v>12</v>
      </c>
      <c r="H5" s="34">
        <v>4</v>
      </c>
      <c r="I5" s="15">
        <f t="shared" si="0"/>
        <v>450</v>
      </c>
      <c r="J5" s="15">
        <f t="shared" si="1"/>
        <v>7.2568940493468785</v>
      </c>
      <c r="K5" s="15">
        <f t="shared" si="2"/>
        <v>457.2568940493469</v>
      </c>
      <c r="L5" s="59"/>
    </row>
    <row r="6" spans="1:12" s="35" customFormat="1" ht="21.95" customHeight="1">
      <c r="A6" s="11">
        <v>4</v>
      </c>
      <c r="B6" s="53" t="s">
        <v>5</v>
      </c>
      <c r="C6" s="11" t="s">
        <v>2</v>
      </c>
      <c r="D6" s="32">
        <v>42840</v>
      </c>
      <c r="E6" s="32">
        <v>43215</v>
      </c>
      <c r="F6" s="33">
        <v>450</v>
      </c>
      <c r="G6" s="34">
        <v>12</v>
      </c>
      <c r="H6" s="34">
        <v>10</v>
      </c>
      <c r="I6" s="15">
        <f t="shared" si="0"/>
        <v>450</v>
      </c>
      <c r="J6" s="15">
        <f t="shared" si="1"/>
        <v>18.142235123367197</v>
      </c>
      <c r="K6" s="15">
        <f t="shared" si="2"/>
        <v>468.14223512336719</v>
      </c>
      <c r="L6" s="59"/>
    </row>
    <row r="7" spans="1:12" s="40" customFormat="1" ht="21.95" customHeight="1">
      <c r="A7" s="36">
        <v>5</v>
      </c>
      <c r="B7" s="54" t="s">
        <v>6</v>
      </c>
      <c r="C7" s="37" t="s">
        <v>2</v>
      </c>
      <c r="D7" s="38">
        <v>42930</v>
      </c>
      <c r="E7" s="38">
        <v>43215</v>
      </c>
      <c r="F7" s="39">
        <v>450</v>
      </c>
      <c r="G7" s="37">
        <v>9</v>
      </c>
      <c r="H7" s="37">
        <v>11</v>
      </c>
      <c r="I7" s="15">
        <f t="shared" si="0"/>
        <v>337.5</v>
      </c>
      <c r="J7" s="15">
        <f t="shared" si="1"/>
        <v>19.956458635703918</v>
      </c>
      <c r="K7" s="15">
        <f t="shared" si="2"/>
        <v>357.45645863570394</v>
      </c>
      <c r="L7" s="60"/>
    </row>
    <row r="8" spans="1:12" s="35" customFormat="1" ht="21.95" customHeight="1">
      <c r="A8" s="11">
        <v>6</v>
      </c>
      <c r="B8" s="53" t="s">
        <v>7</v>
      </c>
      <c r="C8" s="11" t="s">
        <v>2</v>
      </c>
      <c r="D8" s="32">
        <v>42695</v>
      </c>
      <c r="E8" s="32">
        <v>43215</v>
      </c>
      <c r="F8" s="33">
        <v>450</v>
      </c>
      <c r="G8" s="34">
        <v>17</v>
      </c>
      <c r="H8" s="34">
        <v>4</v>
      </c>
      <c r="I8" s="15">
        <f t="shared" si="0"/>
        <v>637.5</v>
      </c>
      <c r="J8" s="15">
        <f t="shared" si="1"/>
        <v>7.2568940493468785</v>
      </c>
      <c r="K8" s="15">
        <f t="shared" si="2"/>
        <v>644.7568940493469</v>
      </c>
      <c r="L8" s="59"/>
    </row>
    <row r="9" spans="1:12" s="35" customFormat="1" ht="21.95" customHeight="1">
      <c r="A9" s="16">
        <v>7</v>
      </c>
      <c r="B9" s="53" t="s">
        <v>8</v>
      </c>
      <c r="C9" s="11" t="s">
        <v>2</v>
      </c>
      <c r="D9" s="32">
        <v>42741</v>
      </c>
      <c r="E9" s="32">
        <v>43215</v>
      </c>
      <c r="F9" s="33">
        <v>450</v>
      </c>
      <c r="G9" s="34">
        <v>15</v>
      </c>
      <c r="H9" s="34">
        <v>19</v>
      </c>
      <c r="I9" s="15">
        <f t="shared" si="0"/>
        <v>562.5</v>
      </c>
      <c r="J9" s="15">
        <f t="shared" si="1"/>
        <v>34.470246734397676</v>
      </c>
      <c r="K9" s="15">
        <f t="shared" si="2"/>
        <v>596.97024673439773</v>
      </c>
      <c r="L9" s="59"/>
    </row>
    <row r="10" spans="1:12" ht="21.95" customHeight="1">
      <c r="A10" s="7">
        <v>8</v>
      </c>
      <c r="B10" s="52" t="s">
        <v>9</v>
      </c>
      <c r="C10" s="11" t="s">
        <v>2</v>
      </c>
      <c r="D10" s="17">
        <v>42739</v>
      </c>
      <c r="E10" s="17">
        <v>43215</v>
      </c>
      <c r="F10" s="26">
        <v>450</v>
      </c>
      <c r="G10" s="18">
        <v>15</v>
      </c>
      <c r="H10" s="18">
        <v>21</v>
      </c>
      <c r="I10" s="15">
        <f t="shared" si="0"/>
        <v>562.5</v>
      </c>
      <c r="J10" s="15">
        <f t="shared" si="1"/>
        <v>38.098693759071111</v>
      </c>
      <c r="K10" s="15">
        <f t="shared" si="2"/>
        <v>600.59869375907112</v>
      </c>
      <c r="L10" s="61"/>
    </row>
    <row r="11" spans="1:12" ht="21.95" customHeight="1">
      <c r="A11" s="6">
        <v>9</v>
      </c>
      <c r="B11" s="52" t="s">
        <v>10</v>
      </c>
      <c r="C11" s="11" t="s">
        <v>2</v>
      </c>
      <c r="D11" s="17">
        <v>42994</v>
      </c>
      <c r="E11" s="17">
        <v>43215</v>
      </c>
      <c r="F11" s="26">
        <v>450</v>
      </c>
      <c r="G11" s="18">
        <v>7</v>
      </c>
      <c r="H11" s="18">
        <v>9</v>
      </c>
      <c r="I11" s="15">
        <f t="shared" si="0"/>
        <v>262.5</v>
      </c>
      <c r="J11" s="15">
        <f t="shared" si="1"/>
        <v>16.328011611030476</v>
      </c>
      <c r="K11" s="15">
        <f t="shared" si="2"/>
        <v>278.82801161103049</v>
      </c>
      <c r="L11" s="61"/>
    </row>
    <row r="12" spans="1:12" s="4" customFormat="1" ht="21.95" customHeight="1">
      <c r="A12" s="7">
        <v>10</v>
      </c>
      <c r="B12" s="52" t="s">
        <v>11</v>
      </c>
      <c r="C12" s="11" t="s">
        <v>2</v>
      </c>
      <c r="D12" s="17">
        <v>42801</v>
      </c>
      <c r="E12" s="17">
        <v>43215</v>
      </c>
      <c r="F12" s="26">
        <v>450</v>
      </c>
      <c r="G12" s="10">
        <v>13</v>
      </c>
      <c r="H12" s="10">
        <v>18</v>
      </c>
      <c r="I12" s="15">
        <f t="shared" si="0"/>
        <v>487.5</v>
      </c>
      <c r="J12" s="15">
        <f t="shared" si="1"/>
        <v>32.656023222060952</v>
      </c>
      <c r="K12" s="15">
        <f t="shared" si="2"/>
        <v>520.15602322206098</v>
      </c>
      <c r="L12" s="58"/>
    </row>
    <row r="13" spans="1:12" s="41" customFormat="1" ht="22.5" customHeight="1">
      <c r="A13" s="16">
        <v>11</v>
      </c>
      <c r="B13" s="53" t="s">
        <v>12</v>
      </c>
      <c r="C13" s="11" t="s">
        <v>2</v>
      </c>
      <c r="D13" s="32">
        <v>43028</v>
      </c>
      <c r="E13" s="32">
        <v>43215</v>
      </c>
      <c r="F13" s="33">
        <v>450</v>
      </c>
      <c r="G13" s="11">
        <v>6</v>
      </c>
      <c r="H13" s="11">
        <v>5</v>
      </c>
      <c r="I13" s="15">
        <f t="shared" si="0"/>
        <v>225</v>
      </c>
      <c r="J13" s="15">
        <f t="shared" si="1"/>
        <v>9.0711175616835984</v>
      </c>
      <c r="K13" s="15">
        <f t="shared" si="2"/>
        <v>234.07111756168359</v>
      </c>
      <c r="L13" s="62"/>
    </row>
    <row r="14" spans="1:12" s="46" customFormat="1" ht="21.95" customHeight="1">
      <c r="A14" s="43">
        <v>12</v>
      </c>
      <c r="B14" s="55" t="s">
        <v>13</v>
      </c>
      <c r="C14" s="43" t="s">
        <v>2</v>
      </c>
      <c r="D14" s="44">
        <v>43048</v>
      </c>
      <c r="E14" s="44">
        <v>43215</v>
      </c>
      <c r="F14" s="45">
        <v>450</v>
      </c>
      <c r="G14" s="43">
        <v>5</v>
      </c>
      <c r="H14" s="43">
        <v>16</v>
      </c>
      <c r="I14" s="47">
        <v>225</v>
      </c>
      <c r="J14" s="47">
        <v>0</v>
      </c>
      <c r="K14" s="15">
        <f t="shared" si="2"/>
        <v>225</v>
      </c>
      <c r="L14" s="63"/>
    </row>
    <row r="15" spans="1:12" s="46" customFormat="1" ht="21.95" customHeight="1">
      <c r="A15" s="42">
        <v>13</v>
      </c>
      <c r="B15" s="55" t="s">
        <v>14</v>
      </c>
      <c r="C15" s="43" t="s">
        <v>2</v>
      </c>
      <c r="D15" s="44">
        <v>43101</v>
      </c>
      <c r="E15" s="44">
        <v>43215</v>
      </c>
      <c r="F15" s="45">
        <v>450</v>
      </c>
      <c r="G15" s="43">
        <v>3</v>
      </c>
      <c r="H15" s="43">
        <v>24</v>
      </c>
      <c r="I15" s="47">
        <v>225</v>
      </c>
      <c r="J15" s="47">
        <v>0</v>
      </c>
      <c r="K15" s="15">
        <f t="shared" si="2"/>
        <v>225</v>
      </c>
      <c r="L15" s="63"/>
    </row>
    <row r="16" spans="1:12" s="35" customFormat="1" ht="21.95" customHeight="1">
      <c r="A16" s="11">
        <v>14</v>
      </c>
      <c r="B16" s="53" t="s">
        <v>15</v>
      </c>
      <c r="C16" s="11" t="s">
        <v>2</v>
      </c>
      <c r="D16" s="32">
        <v>42917</v>
      </c>
      <c r="E16" s="32">
        <v>43215</v>
      </c>
      <c r="F16" s="33">
        <v>450</v>
      </c>
      <c r="G16" s="34">
        <v>9</v>
      </c>
      <c r="H16" s="34">
        <v>24</v>
      </c>
      <c r="I16" s="15">
        <f t="shared" si="0"/>
        <v>337.5</v>
      </c>
      <c r="J16" s="15">
        <f t="shared" si="1"/>
        <v>43.541364296081269</v>
      </c>
      <c r="K16" s="15">
        <f t="shared" si="2"/>
        <v>381.04136429608127</v>
      </c>
      <c r="L16" s="59"/>
    </row>
    <row r="17" spans="1:12" s="35" customFormat="1" ht="21.95" customHeight="1">
      <c r="A17" s="16">
        <v>15</v>
      </c>
      <c r="B17" s="53" t="s">
        <v>16</v>
      </c>
      <c r="C17" s="11" t="s">
        <v>2</v>
      </c>
      <c r="D17" s="32">
        <v>42917</v>
      </c>
      <c r="E17" s="32">
        <v>43215</v>
      </c>
      <c r="F17" s="33">
        <v>450</v>
      </c>
      <c r="G17" s="34">
        <v>9</v>
      </c>
      <c r="H17" s="34">
        <v>24</v>
      </c>
      <c r="I17" s="15">
        <f t="shared" si="0"/>
        <v>337.5</v>
      </c>
      <c r="J17" s="15">
        <f t="shared" si="1"/>
        <v>43.541364296081269</v>
      </c>
      <c r="K17" s="15">
        <f t="shared" si="2"/>
        <v>381.04136429608127</v>
      </c>
      <c r="L17" s="59"/>
    </row>
    <row r="18" spans="1:12" ht="21.95" customHeight="1">
      <c r="A18" s="7">
        <v>16</v>
      </c>
      <c r="B18" s="56" t="s">
        <v>17</v>
      </c>
      <c r="C18" s="11" t="s">
        <v>18</v>
      </c>
      <c r="D18" s="17">
        <v>42809</v>
      </c>
      <c r="E18" s="17">
        <v>43215</v>
      </c>
      <c r="F18" s="26">
        <v>950</v>
      </c>
      <c r="G18" s="18">
        <v>13</v>
      </c>
      <c r="H18" s="18">
        <v>10</v>
      </c>
      <c r="I18" s="15">
        <f t="shared" si="0"/>
        <v>1029.1666666666667</v>
      </c>
      <c r="J18" s="15">
        <f t="shared" si="1"/>
        <v>38.300274149330754</v>
      </c>
      <c r="K18" s="15">
        <f t="shared" si="2"/>
        <v>1067.4669408159975</v>
      </c>
      <c r="L18" s="61"/>
    </row>
    <row r="19" spans="1:12" s="31" customFormat="1" ht="21.95" customHeight="1">
      <c r="A19" s="6">
        <v>17</v>
      </c>
      <c r="B19" s="57" t="s">
        <v>19</v>
      </c>
      <c r="C19" s="27" t="s">
        <v>18</v>
      </c>
      <c r="D19" s="28">
        <v>42738</v>
      </c>
      <c r="E19" s="17">
        <v>43215</v>
      </c>
      <c r="F19" s="29">
        <v>950</v>
      </c>
      <c r="G19" s="30">
        <v>15</v>
      </c>
      <c r="H19" s="30">
        <v>22</v>
      </c>
      <c r="I19" s="15">
        <f t="shared" si="0"/>
        <v>1187.5</v>
      </c>
      <c r="J19" s="15">
        <f t="shared" si="1"/>
        <v>84.260603128527663</v>
      </c>
      <c r="K19" s="15">
        <f t="shared" si="2"/>
        <v>1271.7606031285277</v>
      </c>
      <c r="L19" s="64"/>
    </row>
    <row r="20" spans="1:12" s="31" customFormat="1" ht="21.95" customHeight="1">
      <c r="A20" s="7">
        <v>18</v>
      </c>
      <c r="B20" s="57" t="s">
        <v>20</v>
      </c>
      <c r="C20" s="27" t="s">
        <v>18</v>
      </c>
      <c r="D20" s="28">
        <v>42732</v>
      </c>
      <c r="E20" s="17">
        <v>43215</v>
      </c>
      <c r="F20" s="29">
        <v>950</v>
      </c>
      <c r="G20" s="30">
        <v>15</v>
      </c>
      <c r="H20" s="30">
        <v>28</v>
      </c>
      <c r="I20" s="15">
        <f t="shared" si="0"/>
        <v>1187.5</v>
      </c>
      <c r="J20" s="15">
        <f t="shared" si="1"/>
        <v>107.24076761812611</v>
      </c>
      <c r="K20" s="15">
        <f t="shared" si="2"/>
        <v>1294.740767618126</v>
      </c>
      <c r="L20" s="64"/>
    </row>
    <row r="21" spans="1:12" s="35" customFormat="1" ht="21.95" customHeight="1">
      <c r="A21" s="16">
        <v>19</v>
      </c>
      <c r="B21" s="53" t="s">
        <v>21</v>
      </c>
      <c r="C21" s="11" t="s">
        <v>22</v>
      </c>
      <c r="D21" s="32">
        <v>43028</v>
      </c>
      <c r="E21" s="32">
        <v>43215</v>
      </c>
      <c r="F21" s="33">
        <v>750</v>
      </c>
      <c r="G21" s="11">
        <v>6</v>
      </c>
      <c r="H21" s="11">
        <v>5</v>
      </c>
      <c r="I21" s="15">
        <f t="shared" si="0"/>
        <v>375</v>
      </c>
      <c r="J21" s="15">
        <f t="shared" si="1"/>
        <v>15.118529269472665</v>
      </c>
      <c r="K21" s="15">
        <f t="shared" si="2"/>
        <v>390.11852926947267</v>
      </c>
      <c r="L21" s="59"/>
    </row>
    <row r="22" spans="1:12" ht="21.95" customHeight="1">
      <c r="A22" s="7">
        <v>20</v>
      </c>
      <c r="B22" s="52" t="s">
        <v>35</v>
      </c>
      <c r="C22" s="11" t="s">
        <v>2</v>
      </c>
      <c r="D22" s="17">
        <v>42695</v>
      </c>
      <c r="E22" s="17">
        <v>43215</v>
      </c>
      <c r="F22" s="26">
        <v>450</v>
      </c>
      <c r="G22" s="10">
        <v>17</v>
      </c>
      <c r="H22" s="10">
        <v>4</v>
      </c>
      <c r="I22" s="15">
        <f t="shared" si="0"/>
        <v>637.5</v>
      </c>
      <c r="J22" s="15">
        <f t="shared" si="1"/>
        <v>7.2568940493468785</v>
      </c>
      <c r="K22" s="15">
        <f t="shared" si="2"/>
        <v>644.7568940493469</v>
      </c>
      <c r="L22" s="61"/>
    </row>
    <row r="23" spans="1:12" s="35" customFormat="1" ht="21.95" customHeight="1">
      <c r="A23" s="16">
        <v>21</v>
      </c>
      <c r="B23" s="53" t="s">
        <v>23</v>
      </c>
      <c r="C23" s="11" t="s">
        <v>24</v>
      </c>
      <c r="D23" s="32">
        <v>42899</v>
      </c>
      <c r="E23" s="32">
        <v>43215</v>
      </c>
      <c r="F23" s="33">
        <v>750</v>
      </c>
      <c r="G23" s="34">
        <v>10</v>
      </c>
      <c r="H23" s="34">
        <v>12</v>
      </c>
      <c r="I23" s="15">
        <f t="shared" si="0"/>
        <v>625</v>
      </c>
      <c r="J23" s="15">
        <f t="shared" si="1"/>
        <v>36.284470246734394</v>
      </c>
      <c r="K23" s="15">
        <f t="shared" si="2"/>
        <v>661.28447024673437</v>
      </c>
      <c r="L23" s="59"/>
    </row>
    <row r="24" spans="1:12" s="5" customFormat="1" ht="25.5" customHeight="1">
      <c r="A24" s="49"/>
      <c r="B24" s="50"/>
      <c r="C24" s="50"/>
      <c r="D24" s="50"/>
      <c r="E24" s="19"/>
      <c r="F24" s="20"/>
      <c r="G24" s="19"/>
      <c r="H24" s="20"/>
      <c r="I24" s="23">
        <f>SUM(I3:I23)</f>
        <v>11154.166666666668</v>
      </c>
      <c r="J24" s="22">
        <f>SUM(J3:J23)</f>
        <v>605.95065312046438</v>
      </c>
      <c r="K24" s="24">
        <f>SUM(K3:K23)</f>
        <v>11760.117319787132</v>
      </c>
      <c r="L24" s="61"/>
    </row>
    <row r="25" spans="1:12" ht="21.95" customHeight="1">
      <c r="E25"/>
      <c r="F25"/>
      <c r="G25"/>
      <c r="H25"/>
      <c r="I25"/>
      <c r="J25"/>
      <c r="K25"/>
    </row>
    <row r="26" spans="1:12" ht="21.95" customHeight="1">
      <c r="E26"/>
      <c r="F26"/>
      <c r="G26"/>
      <c r="H26"/>
      <c r="I26"/>
      <c r="J26"/>
      <c r="K26"/>
    </row>
  </sheetData>
  <mergeCells count="2">
    <mergeCell ref="A1:J1"/>
    <mergeCell ref="A24:D24"/>
  </mergeCells>
  <phoneticPr fontId="2" type="noConversion"/>
  <printOptions horizontalCentered="1"/>
  <pageMargins left="0.75138888888888899" right="0.75138888888888899" top="0.59027777777777801" bottom="1" header="0.51180555555555596" footer="0.51180555555555596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User</cp:lastModifiedBy>
  <cp:lastPrinted>2018-04-27T07:20:47Z</cp:lastPrinted>
  <dcterms:created xsi:type="dcterms:W3CDTF">2018-02-27T11:14:00Z</dcterms:created>
  <dcterms:modified xsi:type="dcterms:W3CDTF">2018-05-02T08:39:56Z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2052-10.1.0.7311</vt:lpwstr>
  </property>
  <property fmtid="{D5CDD505-2E9C-101B-9397-08002B2CF9AE}" pid="3" name="KSOReadingLayout">
    <vt:bool>true</vt:bool>
  </property>
</Properties>
</file>