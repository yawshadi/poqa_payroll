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9440" windowHeight="9225" activeTab="2"/>
  </bookViews>
  <sheets>
    <sheet name="CHEC 3 End of Service" sheetId="15" r:id="rId1"/>
    <sheet name="CHEC 7 End of Service" sheetId="7" r:id="rId2"/>
    <sheet name="CHEC 1 End of serv." sheetId="1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2" l="1"/>
  <c r="O12" i="12"/>
  <c r="O13" i="12"/>
  <c r="O14" i="12"/>
  <c r="O10" i="12"/>
  <c r="M13" i="12"/>
  <c r="J13" i="12"/>
  <c r="I13" i="12"/>
  <c r="K13" i="12" s="1"/>
  <c r="N13" i="12" s="1"/>
  <c r="M12" i="12"/>
  <c r="K12" i="12"/>
  <c r="N12" i="12" s="1"/>
  <c r="J12" i="12"/>
  <c r="I12" i="12"/>
  <c r="M11" i="12"/>
  <c r="J11" i="12"/>
  <c r="I11" i="12"/>
  <c r="K11" i="12" s="1"/>
  <c r="N11" i="12" s="1"/>
  <c r="N10" i="12"/>
  <c r="M10" i="12"/>
  <c r="K10" i="12"/>
  <c r="J10" i="12"/>
  <c r="I10" i="12"/>
  <c r="N14" i="12" l="1"/>
  <c r="M15" i="15" l="1"/>
  <c r="J15" i="15"/>
  <c r="I15" i="15"/>
  <c r="K15" i="15" s="1"/>
  <c r="N15" i="15" s="1"/>
  <c r="M14" i="15"/>
  <c r="J14" i="15"/>
  <c r="I14" i="15"/>
  <c r="K14" i="15" s="1"/>
  <c r="N14" i="15" s="1"/>
  <c r="M13" i="15"/>
  <c r="J13" i="15"/>
  <c r="I13" i="15"/>
  <c r="K13" i="15" s="1"/>
  <c r="N13" i="15" s="1"/>
  <c r="M12" i="15"/>
  <c r="K12" i="15"/>
  <c r="N12" i="15" s="1"/>
  <c r="J12" i="15"/>
  <c r="I12" i="15"/>
  <c r="M11" i="15"/>
  <c r="J11" i="15"/>
  <c r="I11" i="15"/>
  <c r="K11" i="15" s="1"/>
  <c r="N11" i="15" s="1"/>
  <c r="M10" i="15"/>
  <c r="J10" i="15"/>
  <c r="I10" i="15"/>
  <c r="K10" i="15" s="1"/>
  <c r="N10" i="15" s="1"/>
  <c r="O16" i="7"/>
  <c r="O11" i="7"/>
  <c r="O12" i="7"/>
  <c r="O13" i="7"/>
  <c r="O14" i="7"/>
  <c r="O15" i="7"/>
  <c r="O10" i="7"/>
  <c r="M15" i="7"/>
  <c r="J15" i="7"/>
  <c r="I15" i="7"/>
  <c r="K15" i="7" s="1"/>
  <c r="N15" i="7" s="1"/>
  <c r="M14" i="7"/>
  <c r="J14" i="7"/>
  <c r="I14" i="7"/>
  <c r="K14" i="7" s="1"/>
  <c r="N14" i="7" s="1"/>
  <c r="M13" i="7"/>
  <c r="J13" i="7"/>
  <c r="I13" i="7"/>
  <c r="K13" i="7" s="1"/>
  <c r="N13" i="7" s="1"/>
  <c r="M12" i="7"/>
  <c r="K12" i="7"/>
  <c r="N12" i="7" s="1"/>
  <c r="J12" i="7"/>
  <c r="I12" i="7"/>
  <c r="M11" i="7"/>
  <c r="J11" i="7"/>
  <c r="I11" i="7"/>
  <c r="K11" i="7" s="1"/>
  <c r="N11" i="7" s="1"/>
  <c r="M10" i="7"/>
  <c r="J10" i="7"/>
  <c r="I10" i="7"/>
  <c r="K10" i="7" s="1"/>
  <c r="N10" i="7" s="1"/>
  <c r="N16" i="15" l="1"/>
  <c r="N16" i="7"/>
</calcChain>
</file>

<file path=xl/sharedStrings.xml><?xml version="1.0" encoding="utf-8"?>
<sst xmlns="http://schemas.openxmlformats.org/spreadsheetml/2006/main" count="99" uniqueCount="53">
  <si>
    <t>EXCAVATOR</t>
  </si>
  <si>
    <t>PICK UP Driver</t>
  </si>
  <si>
    <t>EBENEZER HANSON</t>
  </si>
  <si>
    <t xml:space="preserve"> WELDER</t>
  </si>
  <si>
    <t>NTI EBLENEZER</t>
  </si>
  <si>
    <t>FLAGMAN</t>
  </si>
  <si>
    <t>VINCENT TEYE TETTEH</t>
  </si>
  <si>
    <t>AKATSI BRIGHT</t>
  </si>
  <si>
    <t>BULLDOZER</t>
  </si>
  <si>
    <t>GODSWAY KWEKU</t>
    <phoneticPr fontId="0" type="noConversion"/>
  </si>
  <si>
    <t>JUSTICE OSAE</t>
    <phoneticPr fontId="0" type="noConversion"/>
  </si>
  <si>
    <t>RUBEN GADAH</t>
    <phoneticPr fontId="0" type="noConversion"/>
  </si>
  <si>
    <t>AMEGASHIE KOJO</t>
    <phoneticPr fontId="0" type="noConversion"/>
  </si>
  <si>
    <t>ARHIN GIDEON</t>
    <phoneticPr fontId="0" type="noConversion"/>
  </si>
  <si>
    <t>ENV.OFFICER</t>
  </si>
  <si>
    <t>LEONARD BAANJO-KLOGO</t>
  </si>
  <si>
    <t>SITE CLEANER</t>
  </si>
  <si>
    <t>MATILDA KUAPAH</t>
  </si>
  <si>
    <t>AMEGBEDZI MARTHA</t>
  </si>
  <si>
    <t>序号</t>
  </si>
  <si>
    <t>HELPER</t>
  </si>
  <si>
    <t>防波堤队伍工人遣散费用名单</t>
    <phoneticPr fontId="2" type="noConversion"/>
  </si>
  <si>
    <t>NAME</t>
    <phoneticPr fontId="2" type="noConversion"/>
  </si>
  <si>
    <t xml:space="preserve"> POSITION</t>
    <phoneticPr fontId="2" type="noConversion"/>
  </si>
  <si>
    <t>APPROACH DATE</t>
  </si>
  <si>
    <t>ENDING DATE</t>
  </si>
  <si>
    <t>BASIC SALARY</t>
  </si>
  <si>
    <t>NO. OF MONTHS</t>
  </si>
  <si>
    <t>NO. OF DAYS</t>
  </si>
  <si>
    <t>MONTHS PAY</t>
  </si>
  <si>
    <t>DAYS PAY</t>
  </si>
  <si>
    <t>SEVERANCE PACKAGE</t>
  </si>
  <si>
    <t>LEAVE ENTITLEMENTS (DAYS)</t>
  </si>
  <si>
    <t>LEAVE PAYMENTS</t>
  </si>
  <si>
    <t>TOTAL</t>
  </si>
  <si>
    <t>DAMBA MALIK</t>
  </si>
  <si>
    <t>DANIELS BENJAMIN KWESI</t>
  </si>
  <si>
    <t>PROSPER AGBOTSE</t>
  </si>
  <si>
    <t>WELDER</t>
  </si>
  <si>
    <t>ABUKU DELALI WINNIE</t>
  </si>
  <si>
    <t>SOCIAL PERFORMANCE MGR</t>
  </si>
  <si>
    <t>END OF SERVICE BENEFIT CHEC 7 - LB</t>
  </si>
  <si>
    <t>LABOR POWER &amp;CONSULTANCY LIMITED</t>
  </si>
  <si>
    <t>TO: CHINA HARBOUR ENGINEERING COMPANY (GHANA) LIMITED</t>
  </si>
  <si>
    <t>DEPARTMENT: CHEC 7-LB</t>
  </si>
  <si>
    <t>TO CHEC</t>
  </si>
  <si>
    <t>INVOICE SUMMARY ON END OF SERVICE BENEFIT</t>
  </si>
  <si>
    <t>PERIOD: 22/06/2018</t>
  </si>
  <si>
    <t>END OF SERVICE BENEFIT CHEC 3 - LB</t>
  </si>
  <si>
    <t>DEPARTMENT: CHEC 3-LB</t>
  </si>
  <si>
    <t>DEPARTMENT: CHEC 1 ADMIN-LB</t>
  </si>
  <si>
    <t>INVOICE SUMMARY ON END OF SERVICE PAYMENTS-2017</t>
  </si>
  <si>
    <t>INVOICE SUMMARY  OF END OF SERVICE PAYMENTS-2017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</si>
</sst>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[$-409]d\-mmm\-yy;@"/>
  </numFmts>
  <fonts count="15"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134"/>
      <scheme val="minor"/>
    </font>
    <font>
      <sz val="11"/>
      <color indexed="8"/>
      <name val="仿宋"/>
      <family val="3"/>
      <charset val="134"/>
    </font>
    <font>
      <sz val="12"/>
      <name val="宋体"/>
      <charset val="134"/>
    </font>
    <font>
      <sz val="11"/>
      <color indexed="8"/>
      <name val="Tahoma"/>
      <family val="2"/>
      <charset val="134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/>
    </xf>
    <xf numFmtId="165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left" vertical="top"/>
    </xf>
    <xf numFmtId="14" fontId="6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center"/>
    </xf>
    <xf numFmtId="43" fontId="5" fillId="0" borderId="1" xfId="4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43" fontId="5" fillId="0" borderId="1" xfId="4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top"/>
    </xf>
    <xf numFmtId="14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 vertical="center"/>
    </xf>
    <xf numFmtId="14" fontId="6" fillId="3" borderId="1" xfId="1" applyNumberFormat="1" applyFont="1" applyFill="1" applyBorder="1" applyAlignment="1">
      <alignment horizontal="center"/>
    </xf>
    <xf numFmtId="43" fontId="12" fillId="0" borderId="1" xfId="4" applyFont="1" applyFill="1" applyBorder="1" applyAlignment="1"/>
    <xf numFmtId="0" fontId="5" fillId="3" borderId="1" xfId="0" applyFont="1" applyFill="1" applyBorder="1" applyAlignment="1">
      <alignment horizontal="left" vertical="center"/>
    </xf>
    <xf numFmtId="14" fontId="5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2" fontId="13" fillId="0" borderId="1" xfId="0" applyNumberFormat="1" applyFont="1" applyBorder="1"/>
    <xf numFmtId="2" fontId="5" fillId="0" borderId="1" xfId="0" applyNumberFormat="1" applyFont="1" applyBorder="1"/>
    <xf numFmtId="4" fontId="9" fillId="0" borderId="1" xfId="0" applyNumberFormat="1" applyFont="1" applyBorder="1"/>
    <xf numFmtId="0" fontId="0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4" fontId="14" fillId="0" borderId="1" xfId="0" applyNumberFormat="1" applyFont="1" applyBorder="1"/>
    <xf numFmtId="0" fontId="12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center" vertical="top" wrapText="1"/>
    </xf>
    <xf numFmtId="14" fontId="6" fillId="0" borderId="1" xfId="0" applyNumberFormat="1" applyFont="1" applyFill="1" applyBorder="1" applyAlignment="1">
      <alignment horizontal="center" vertical="top"/>
    </xf>
    <xf numFmtId="43" fontId="12" fillId="0" borderId="1" xfId="4" applyFont="1" applyFill="1" applyBorder="1" applyAlignment="1">
      <alignment vertical="top"/>
    </xf>
    <xf numFmtId="0" fontId="5" fillId="0" borderId="1" xfId="0" applyFont="1" applyFill="1" applyBorder="1" applyAlignment="1">
      <alignment horizontal="center" vertical="top"/>
    </xf>
    <xf numFmtId="43" fontId="5" fillId="0" borderId="1" xfId="4" applyFont="1" applyFill="1" applyBorder="1" applyAlignment="1">
      <alignment horizontal="center" vertical="top"/>
    </xf>
    <xf numFmtId="2" fontId="5" fillId="0" borderId="1" xfId="0" applyNumberFormat="1" applyFont="1" applyFill="1" applyBorder="1" applyAlignment="1">
      <alignment vertical="top"/>
    </xf>
    <xf numFmtId="14" fontId="5" fillId="0" borderId="1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5">
    <cellStyle name="Comma 2 2 2" xfId="4"/>
    <cellStyle name="Normal" xfId="0" builtinId="0"/>
    <cellStyle name="常规 2" xfId="3"/>
    <cellStyle name="常规 55" xfId="1"/>
    <cellStyle name="适中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B16" sqref="B16"/>
    </sheetView>
  </sheetViews>
  <sheetFormatPr defaultRowHeight="15"/>
  <cols>
    <col min="2" max="2" width="32.42578125" customWidth="1"/>
    <col min="3" max="3" width="17.28515625" customWidth="1"/>
    <col min="4" max="4" width="24.28515625" customWidth="1"/>
    <col min="5" max="5" width="17" customWidth="1"/>
    <col min="6" max="6" width="20" customWidth="1"/>
    <col min="7" max="7" width="20.42578125" customWidth="1"/>
    <col min="8" max="8" width="16.28515625" customWidth="1"/>
    <col min="9" max="9" width="17.42578125" customWidth="1"/>
    <col min="10" max="10" width="14.85546875" customWidth="1"/>
    <col min="11" max="11" width="25.85546875" customWidth="1"/>
    <col min="12" max="12" width="37.5703125" customWidth="1"/>
    <col min="13" max="13" width="24.28515625" customWidth="1"/>
  </cols>
  <sheetData>
    <row r="1" spans="1:14">
      <c r="A1" s="1" t="s">
        <v>42</v>
      </c>
    </row>
    <row r="2" spans="1:14">
      <c r="A2" s="41" t="s">
        <v>51</v>
      </c>
    </row>
    <row r="3" spans="1:14">
      <c r="A3" s="1" t="s">
        <v>43</v>
      </c>
    </row>
    <row r="4" spans="1:14">
      <c r="A4" s="1" t="s">
        <v>49</v>
      </c>
    </row>
    <row r="5" spans="1:14">
      <c r="A5" s="41" t="s">
        <v>47</v>
      </c>
    </row>
    <row r="7" spans="1:14" ht="15.75">
      <c r="A7" s="54" t="s">
        <v>48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</row>
    <row r="8" spans="1:14" ht="15.75">
      <c r="A8" s="53" t="s">
        <v>21</v>
      </c>
      <c r="B8" s="53"/>
      <c r="C8" s="53"/>
      <c r="D8" s="53"/>
      <c r="E8" s="53"/>
      <c r="F8" s="53"/>
      <c r="G8" s="53"/>
      <c r="H8" s="53"/>
      <c r="I8" s="53"/>
      <c r="J8" s="53"/>
      <c r="K8" s="2"/>
      <c r="L8" s="3"/>
      <c r="M8" s="3"/>
      <c r="N8" s="3"/>
    </row>
    <row r="9" spans="1:14" ht="15.75">
      <c r="A9" s="4" t="s">
        <v>19</v>
      </c>
      <c r="B9" s="5" t="s">
        <v>22</v>
      </c>
      <c r="C9" s="6" t="s">
        <v>23</v>
      </c>
      <c r="D9" s="7" t="s">
        <v>24</v>
      </c>
      <c r="E9" s="8" t="s">
        <v>25</v>
      </c>
      <c r="F9" s="9" t="s">
        <v>26</v>
      </c>
      <c r="G9" s="10" t="s">
        <v>27</v>
      </c>
      <c r="H9" s="10" t="s">
        <v>28</v>
      </c>
      <c r="I9" s="9" t="s">
        <v>29</v>
      </c>
      <c r="J9" s="9" t="s">
        <v>30</v>
      </c>
      <c r="K9" s="9" t="s">
        <v>31</v>
      </c>
      <c r="L9" s="9" t="s">
        <v>32</v>
      </c>
      <c r="M9" s="9" t="s">
        <v>33</v>
      </c>
      <c r="N9" s="9" t="s">
        <v>34</v>
      </c>
    </row>
    <row r="10" spans="1:14" ht="15.75">
      <c r="A10" s="4">
        <v>1</v>
      </c>
      <c r="B10" s="33" t="s">
        <v>35</v>
      </c>
      <c r="C10" s="11" t="s">
        <v>0</v>
      </c>
      <c r="D10" s="12">
        <v>42804</v>
      </c>
      <c r="E10" s="13">
        <v>43099</v>
      </c>
      <c r="F10" s="14">
        <v>750</v>
      </c>
      <c r="G10" s="15">
        <v>9</v>
      </c>
      <c r="H10" s="15">
        <v>22</v>
      </c>
      <c r="I10" s="16">
        <f t="shared" ref="I10:I15" si="0">F10/12*G10</f>
        <v>562.5</v>
      </c>
      <c r="J10" s="16">
        <f t="shared" ref="J10:J15" si="1">F10/12/20.67*H10</f>
        <v>66.52152878567972</v>
      </c>
      <c r="K10" s="16">
        <f t="shared" ref="K10:K15" si="2">I10+J10</f>
        <v>629.02152878567972</v>
      </c>
      <c r="L10" s="15">
        <v>11</v>
      </c>
      <c r="M10" s="17">
        <f t="shared" ref="M10:M15" si="3">(F10/20.67)*L10</f>
        <v>399.12917271407832</v>
      </c>
      <c r="N10" s="17">
        <f t="shared" ref="N10:N15" si="4">SUM(K10+M10)</f>
        <v>1028.150701499758</v>
      </c>
    </row>
    <row r="11" spans="1:14" ht="15.75">
      <c r="A11" s="4">
        <v>2</v>
      </c>
      <c r="B11" s="34" t="s">
        <v>36</v>
      </c>
      <c r="C11" s="18" t="s">
        <v>1</v>
      </c>
      <c r="D11" s="19">
        <v>42805</v>
      </c>
      <c r="E11" s="13">
        <v>43099</v>
      </c>
      <c r="F11" s="14">
        <v>650</v>
      </c>
      <c r="G11" s="15">
        <v>9</v>
      </c>
      <c r="H11" s="15">
        <v>21</v>
      </c>
      <c r="I11" s="16">
        <f t="shared" si="0"/>
        <v>487.5</v>
      </c>
      <c r="J11" s="16">
        <f t="shared" si="1"/>
        <v>55.031446540880495</v>
      </c>
      <c r="K11" s="16">
        <f t="shared" si="2"/>
        <v>542.53144654088055</v>
      </c>
      <c r="L11" s="15">
        <v>11</v>
      </c>
      <c r="M11" s="17">
        <f t="shared" si="3"/>
        <v>345.91194968553458</v>
      </c>
      <c r="N11" s="17">
        <f t="shared" si="4"/>
        <v>888.44339622641519</v>
      </c>
    </row>
    <row r="12" spans="1:14" ht="15.75">
      <c r="A12" s="20">
        <v>3</v>
      </c>
      <c r="B12" s="35" t="s">
        <v>2</v>
      </c>
      <c r="C12" s="18" t="s">
        <v>3</v>
      </c>
      <c r="D12" s="19">
        <v>42823</v>
      </c>
      <c r="E12" s="13">
        <v>43099</v>
      </c>
      <c r="F12" s="14">
        <v>750</v>
      </c>
      <c r="G12" s="21">
        <v>9</v>
      </c>
      <c r="H12" s="21">
        <v>3</v>
      </c>
      <c r="I12" s="16">
        <f t="shared" si="0"/>
        <v>562.5</v>
      </c>
      <c r="J12" s="16">
        <f t="shared" si="1"/>
        <v>9.0711175616835984</v>
      </c>
      <c r="K12" s="16">
        <f t="shared" si="2"/>
        <v>571.57111756168365</v>
      </c>
      <c r="L12" s="21">
        <v>11</v>
      </c>
      <c r="M12" s="17">
        <f t="shared" si="3"/>
        <v>399.12917271407832</v>
      </c>
      <c r="N12" s="17">
        <f t="shared" si="4"/>
        <v>970.70029027576197</v>
      </c>
    </row>
    <row r="13" spans="1:14" ht="15.75">
      <c r="A13" s="20">
        <v>4</v>
      </c>
      <c r="B13" s="35" t="s">
        <v>4</v>
      </c>
      <c r="C13" s="18" t="s">
        <v>5</v>
      </c>
      <c r="D13" s="19">
        <v>42741</v>
      </c>
      <c r="E13" s="13">
        <v>43099</v>
      </c>
      <c r="F13" s="14">
        <v>450</v>
      </c>
      <c r="G13" s="21">
        <v>11</v>
      </c>
      <c r="H13" s="21">
        <v>26</v>
      </c>
      <c r="I13" s="16">
        <f t="shared" si="0"/>
        <v>412.5</v>
      </c>
      <c r="J13" s="16">
        <f t="shared" si="1"/>
        <v>47.169811320754711</v>
      </c>
      <c r="K13" s="16">
        <f t="shared" si="2"/>
        <v>459.66981132075472</v>
      </c>
      <c r="L13" s="21">
        <v>14</v>
      </c>
      <c r="M13" s="17">
        <f t="shared" si="3"/>
        <v>304.78955007256894</v>
      </c>
      <c r="N13" s="17">
        <f t="shared" si="4"/>
        <v>764.45936139332366</v>
      </c>
    </row>
    <row r="14" spans="1:14" ht="15.75">
      <c r="A14" s="22">
        <v>5</v>
      </c>
      <c r="B14" s="35" t="s">
        <v>6</v>
      </c>
      <c r="C14" s="18" t="s">
        <v>5</v>
      </c>
      <c r="D14" s="19">
        <v>42669</v>
      </c>
      <c r="E14" s="13">
        <v>43099</v>
      </c>
      <c r="F14" s="14">
        <v>450</v>
      </c>
      <c r="G14" s="22">
        <v>14</v>
      </c>
      <c r="H14" s="22">
        <v>6</v>
      </c>
      <c r="I14" s="16">
        <f t="shared" si="0"/>
        <v>525</v>
      </c>
      <c r="J14" s="16">
        <f t="shared" si="1"/>
        <v>10.885341074020317</v>
      </c>
      <c r="K14" s="16">
        <f t="shared" si="2"/>
        <v>535.88534107402029</v>
      </c>
      <c r="L14" s="22">
        <v>17</v>
      </c>
      <c r="M14" s="17">
        <f t="shared" si="3"/>
        <v>370.10159651669085</v>
      </c>
      <c r="N14" s="17">
        <f t="shared" si="4"/>
        <v>905.98693759071114</v>
      </c>
    </row>
    <row r="15" spans="1:14" ht="15.75">
      <c r="A15" s="4">
        <v>7</v>
      </c>
      <c r="B15" s="35" t="s">
        <v>7</v>
      </c>
      <c r="C15" s="18" t="s">
        <v>8</v>
      </c>
      <c r="D15" s="23">
        <v>42917</v>
      </c>
      <c r="E15" s="13">
        <v>43099</v>
      </c>
      <c r="F15" s="14">
        <v>750</v>
      </c>
      <c r="G15" s="21">
        <v>6</v>
      </c>
      <c r="H15" s="21">
        <v>0</v>
      </c>
      <c r="I15" s="16">
        <f t="shared" si="0"/>
        <v>375</v>
      </c>
      <c r="J15" s="16">
        <f t="shared" si="1"/>
        <v>0</v>
      </c>
      <c r="K15" s="16">
        <f t="shared" si="2"/>
        <v>375</v>
      </c>
      <c r="L15" s="21">
        <v>7</v>
      </c>
      <c r="M15" s="17">
        <f t="shared" si="3"/>
        <v>253.99129172714075</v>
      </c>
      <c r="N15" s="17">
        <f t="shared" si="4"/>
        <v>628.99129172714072</v>
      </c>
    </row>
    <row r="16" spans="1:14">
      <c r="N16" s="43">
        <f>SUM(N10:N15)</f>
        <v>5186.73197871311</v>
      </c>
    </row>
  </sheetData>
  <mergeCells count="2">
    <mergeCell ref="A7:N7"/>
    <mergeCell ref="A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C35" sqref="C35"/>
    </sheetView>
  </sheetViews>
  <sheetFormatPr defaultRowHeight="15"/>
  <cols>
    <col min="2" max="2" width="24.5703125" customWidth="1"/>
    <col min="3" max="3" width="13.7109375" customWidth="1"/>
    <col min="4" max="4" width="23.140625" customWidth="1"/>
    <col min="5" max="5" width="17.5703125" customWidth="1"/>
    <col min="6" max="6" width="20" customWidth="1"/>
    <col min="7" max="7" width="19.5703125" customWidth="1"/>
    <col min="8" max="8" width="16" customWidth="1"/>
    <col min="9" max="9" width="17.85546875" customWidth="1"/>
    <col min="10" max="10" width="14.28515625" customWidth="1"/>
    <col min="11" max="11" width="27.28515625" customWidth="1"/>
    <col min="12" max="12" width="39" customWidth="1"/>
    <col min="13" max="13" width="22.140625" customWidth="1"/>
    <col min="15" max="15" width="12.5703125" customWidth="1"/>
  </cols>
  <sheetData>
    <row r="1" spans="1:15">
      <c r="E1" s="1" t="s">
        <v>42</v>
      </c>
    </row>
    <row r="2" spans="1:15">
      <c r="A2" s="1" t="s">
        <v>42</v>
      </c>
      <c r="E2" s="41" t="s">
        <v>51</v>
      </c>
      <c r="G2" s="1"/>
    </row>
    <row r="3" spans="1:15">
      <c r="A3" s="41" t="s">
        <v>46</v>
      </c>
      <c r="E3" s="1" t="s">
        <v>43</v>
      </c>
      <c r="G3" s="1"/>
    </row>
    <row r="4" spans="1:15">
      <c r="A4" s="1" t="s">
        <v>43</v>
      </c>
      <c r="E4" s="1" t="s">
        <v>44</v>
      </c>
      <c r="G4" s="1"/>
    </row>
    <row r="5" spans="1:15">
      <c r="A5" s="1" t="s">
        <v>44</v>
      </c>
      <c r="E5" s="41" t="s">
        <v>47</v>
      </c>
      <c r="G5" s="1"/>
    </row>
    <row r="6" spans="1:15">
      <c r="A6" s="41" t="s">
        <v>47</v>
      </c>
      <c r="G6" s="1"/>
    </row>
    <row r="8" spans="1:15" ht="15.75">
      <c r="A8" s="55" t="s">
        <v>41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spans="1:15" ht="15.75">
      <c r="A9" s="4" t="s">
        <v>19</v>
      </c>
      <c r="B9" s="5" t="s">
        <v>22</v>
      </c>
      <c r="C9" s="6" t="s">
        <v>23</v>
      </c>
      <c r="D9" s="7" t="s">
        <v>24</v>
      </c>
      <c r="E9" s="8" t="s">
        <v>25</v>
      </c>
      <c r="F9" s="9" t="s">
        <v>26</v>
      </c>
      <c r="G9" s="10" t="s">
        <v>27</v>
      </c>
      <c r="H9" s="10" t="s">
        <v>28</v>
      </c>
      <c r="I9" s="9" t="s">
        <v>29</v>
      </c>
      <c r="J9" s="9" t="s">
        <v>30</v>
      </c>
      <c r="K9" s="9" t="s">
        <v>31</v>
      </c>
      <c r="L9" s="9" t="s">
        <v>32</v>
      </c>
      <c r="M9" s="9" t="s">
        <v>33</v>
      </c>
      <c r="N9" s="9" t="s">
        <v>34</v>
      </c>
      <c r="O9" s="42" t="s">
        <v>45</v>
      </c>
    </row>
    <row r="10" spans="1:15" ht="15.75">
      <c r="A10" s="20">
        <v>9</v>
      </c>
      <c r="B10" s="36" t="s">
        <v>37</v>
      </c>
      <c r="C10" s="24" t="s">
        <v>38</v>
      </c>
      <c r="D10" s="25">
        <v>42847</v>
      </c>
      <c r="E10" s="13">
        <v>43099</v>
      </c>
      <c r="F10" s="26">
        <v>750</v>
      </c>
      <c r="G10" s="20">
        <v>8</v>
      </c>
      <c r="H10" s="20">
        <v>9</v>
      </c>
      <c r="I10" s="16">
        <f t="shared" ref="I10:I15" si="0">F10/12*G10</f>
        <v>500</v>
      </c>
      <c r="J10" s="16">
        <f t="shared" ref="J10:J15" si="1">F10/12/20.67*H10</f>
        <v>27.213352685050797</v>
      </c>
      <c r="K10" s="16">
        <f t="shared" ref="K10:K15" si="2">I10+J10</f>
        <v>527.21335268505084</v>
      </c>
      <c r="L10" s="20">
        <v>10</v>
      </c>
      <c r="M10" s="17">
        <f t="shared" ref="M10:M15" si="3">(F10/20.67)*L10</f>
        <v>362.84470246734395</v>
      </c>
      <c r="N10" s="17">
        <f t="shared" ref="N10:N15" si="4">SUM(K10+M10)</f>
        <v>890.05805515239479</v>
      </c>
      <c r="O10" s="38">
        <f>N10</f>
        <v>890.05805515239479</v>
      </c>
    </row>
    <row r="11" spans="1:15" ht="15.75">
      <c r="A11" s="20">
        <v>10</v>
      </c>
      <c r="B11" s="37" t="s">
        <v>9</v>
      </c>
      <c r="C11" s="27" t="s">
        <v>20</v>
      </c>
      <c r="D11" s="28">
        <v>42852</v>
      </c>
      <c r="E11" s="13">
        <v>43099</v>
      </c>
      <c r="F11" s="26">
        <v>450</v>
      </c>
      <c r="G11" s="20">
        <v>8</v>
      </c>
      <c r="H11" s="20">
        <v>4</v>
      </c>
      <c r="I11" s="16">
        <f t="shared" si="0"/>
        <v>300</v>
      </c>
      <c r="J11" s="16">
        <f t="shared" si="1"/>
        <v>7.2568940493468785</v>
      </c>
      <c r="K11" s="16">
        <f t="shared" si="2"/>
        <v>307.2568940493469</v>
      </c>
      <c r="L11" s="20">
        <v>10</v>
      </c>
      <c r="M11" s="17">
        <f t="shared" si="3"/>
        <v>217.70682148040638</v>
      </c>
      <c r="N11" s="17">
        <f t="shared" si="4"/>
        <v>524.96371552975324</v>
      </c>
      <c r="O11" s="38">
        <f t="shared" ref="O11:O15" si="5">N11</f>
        <v>524.96371552975324</v>
      </c>
    </row>
    <row r="12" spans="1:15" ht="15.75">
      <c r="A12" s="22">
        <v>11</v>
      </c>
      <c r="B12" s="37" t="s">
        <v>10</v>
      </c>
      <c r="C12" s="27" t="s">
        <v>20</v>
      </c>
      <c r="D12" s="28">
        <v>42741</v>
      </c>
      <c r="E12" s="13">
        <v>43099</v>
      </c>
      <c r="F12" s="26">
        <v>450</v>
      </c>
      <c r="G12" s="21">
        <v>11</v>
      </c>
      <c r="H12" s="21">
        <v>26</v>
      </c>
      <c r="I12" s="16">
        <f t="shared" si="0"/>
        <v>412.5</v>
      </c>
      <c r="J12" s="16">
        <f t="shared" si="1"/>
        <v>47.169811320754711</v>
      </c>
      <c r="K12" s="16">
        <f t="shared" si="2"/>
        <v>459.66981132075472</v>
      </c>
      <c r="L12" s="21">
        <v>14</v>
      </c>
      <c r="M12" s="17">
        <f t="shared" si="3"/>
        <v>304.78955007256894</v>
      </c>
      <c r="N12" s="17">
        <f t="shared" si="4"/>
        <v>764.45936139332366</v>
      </c>
      <c r="O12" s="38">
        <f t="shared" si="5"/>
        <v>764.45936139332366</v>
      </c>
    </row>
    <row r="13" spans="1:15" ht="15.75">
      <c r="A13" s="20">
        <v>12</v>
      </c>
      <c r="B13" s="37" t="s">
        <v>11</v>
      </c>
      <c r="C13" s="27" t="s">
        <v>20</v>
      </c>
      <c r="D13" s="28">
        <v>42840</v>
      </c>
      <c r="E13" s="13">
        <v>43099</v>
      </c>
      <c r="F13" s="26">
        <v>450</v>
      </c>
      <c r="G13" s="21">
        <v>8</v>
      </c>
      <c r="H13" s="21">
        <v>16</v>
      </c>
      <c r="I13" s="16">
        <f t="shared" si="0"/>
        <v>300</v>
      </c>
      <c r="J13" s="16">
        <f t="shared" si="1"/>
        <v>29.027576197387514</v>
      </c>
      <c r="K13" s="16">
        <f t="shared" si="2"/>
        <v>329.02757619738753</v>
      </c>
      <c r="L13" s="21">
        <v>10</v>
      </c>
      <c r="M13" s="17">
        <f t="shared" si="3"/>
        <v>217.70682148040638</v>
      </c>
      <c r="N13" s="17">
        <f t="shared" si="4"/>
        <v>546.73439767779394</v>
      </c>
      <c r="O13" s="38">
        <f t="shared" si="5"/>
        <v>546.73439767779394</v>
      </c>
    </row>
    <row r="14" spans="1:15" ht="15.75">
      <c r="A14" s="4">
        <v>13</v>
      </c>
      <c r="B14" s="37" t="s">
        <v>12</v>
      </c>
      <c r="C14" s="27" t="s">
        <v>20</v>
      </c>
      <c r="D14" s="28">
        <v>42831</v>
      </c>
      <c r="E14" s="13">
        <v>43099</v>
      </c>
      <c r="F14" s="26">
        <v>450</v>
      </c>
      <c r="G14" s="29">
        <v>8</v>
      </c>
      <c r="H14" s="29">
        <v>25</v>
      </c>
      <c r="I14" s="16">
        <f t="shared" si="0"/>
        <v>300</v>
      </c>
      <c r="J14" s="16">
        <f t="shared" si="1"/>
        <v>45.355587808417994</v>
      </c>
      <c r="K14" s="16">
        <f t="shared" si="2"/>
        <v>345.35558780841802</v>
      </c>
      <c r="L14" s="29">
        <v>10</v>
      </c>
      <c r="M14" s="17">
        <f t="shared" si="3"/>
        <v>217.70682148040638</v>
      </c>
      <c r="N14" s="17">
        <f t="shared" si="4"/>
        <v>563.06240928882437</v>
      </c>
      <c r="O14" s="38">
        <f t="shared" si="5"/>
        <v>563.06240928882437</v>
      </c>
    </row>
    <row r="15" spans="1:15" ht="15.75">
      <c r="A15" s="4">
        <v>14</v>
      </c>
      <c r="B15" s="37" t="s">
        <v>13</v>
      </c>
      <c r="C15" s="27" t="s">
        <v>20</v>
      </c>
      <c r="D15" s="28">
        <v>42683</v>
      </c>
      <c r="E15" s="13">
        <v>43099</v>
      </c>
      <c r="F15" s="26">
        <v>450</v>
      </c>
      <c r="G15" s="15">
        <v>13</v>
      </c>
      <c r="H15" s="15">
        <v>22</v>
      </c>
      <c r="I15" s="16">
        <f t="shared" si="0"/>
        <v>487.5</v>
      </c>
      <c r="J15" s="16">
        <f t="shared" si="1"/>
        <v>39.912917271407835</v>
      </c>
      <c r="K15" s="16">
        <f t="shared" si="2"/>
        <v>527.41291727140788</v>
      </c>
      <c r="L15" s="15">
        <v>16</v>
      </c>
      <c r="M15" s="17">
        <f t="shared" si="3"/>
        <v>348.33091436865021</v>
      </c>
      <c r="N15" s="17">
        <f t="shared" si="4"/>
        <v>875.74383164005803</v>
      </c>
      <c r="O15" s="38">
        <f t="shared" si="5"/>
        <v>875.74383164005803</v>
      </c>
    </row>
    <row r="16" spans="1:15" ht="15.75">
      <c r="N16" s="40">
        <f>SUM(N10:N15)</f>
        <v>4165.0217706821477</v>
      </c>
      <c r="O16" s="40">
        <f>N16</f>
        <v>4165.0217706821477</v>
      </c>
    </row>
  </sheetData>
  <mergeCells count="1">
    <mergeCell ref="A8:N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F19" sqref="F19"/>
    </sheetView>
  </sheetViews>
  <sheetFormatPr defaultRowHeight="15"/>
  <cols>
    <col min="2" max="2" width="27.85546875" customWidth="1"/>
    <col min="3" max="3" width="19.7109375" customWidth="1"/>
    <col min="4" max="4" width="22" customWidth="1"/>
    <col min="5" max="5" width="18.42578125" customWidth="1"/>
    <col min="6" max="6" width="17.28515625" customWidth="1"/>
    <col min="7" max="7" width="19.7109375" customWidth="1"/>
    <col min="8" max="8" width="15.7109375" customWidth="1"/>
    <col min="9" max="9" width="17.7109375" customWidth="1"/>
    <col min="10" max="10" width="15.42578125" customWidth="1"/>
    <col min="11" max="11" width="26" customWidth="1"/>
    <col min="12" max="12" width="35.140625" customWidth="1"/>
    <col min="13" max="13" width="23.7109375" customWidth="1"/>
    <col min="15" max="15" width="12.42578125" customWidth="1"/>
  </cols>
  <sheetData>
    <row r="1" spans="1:15">
      <c r="A1" s="1" t="s">
        <v>42</v>
      </c>
    </row>
    <row r="2" spans="1:15">
      <c r="A2" s="41" t="s">
        <v>52</v>
      </c>
    </row>
    <row r="3" spans="1:15">
      <c r="A3" s="1" t="s">
        <v>43</v>
      </c>
    </row>
    <row r="4" spans="1:15">
      <c r="A4" s="1" t="s">
        <v>50</v>
      </c>
    </row>
    <row r="5" spans="1:15">
      <c r="A5" s="41" t="s">
        <v>47</v>
      </c>
    </row>
    <row r="9" spans="1:15" ht="15.75">
      <c r="A9" s="4" t="s">
        <v>19</v>
      </c>
      <c r="B9" s="5" t="s">
        <v>22</v>
      </c>
      <c r="C9" s="6" t="s">
        <v>23</v>
      </c>
      <c r="D9" s="7" t="s">
        <v>24</v>
      </c>
      <c r="E9" s="8" t="s">
        <v>25</v>
      </c>
      <c r="F9" s="9" t="s">
        <v>26</v>
      </c>
      <c r="G9" s="10" t="s">
        <v>27</v>
      </c>
      <c r="H9" s="10" t="s">
        <v>28</v>
      </c>
      <c r="I9" s="9" t="s">
        <v>29</v>
      </c>
      <c r="J9" s="9" t="s">
        <v>30</v>
      </c>
      <c r="K9" s="9" t="s">
        <v>31</v>
      </c>
      <c r="L9" s="9" t="s">
        <v>32</v>
      </c>
      <c r="M9" s="9" t="s">
        <v>33</v>
      </c>
      <c r="N9" s="9" t="s">
        <v>34</v>
      </c>
      <c r="O9" s="9" t="s">
        <v>45</v>
      </c>
    </row>
    <row r="10" spans="1:15" ht="28.5" customHeight="1">
      <c r="A10" s="44">
        <v>15</v>
      </c>
      <c r="B10" s="31" t="s">
        <v>39</v>
      </c>
      <c r="C10" s="45" t="s">
        <v>14</v>
      </c>
      <c r="D10" s="46">
        <v>42590</v>
      </c>
      <c r="E10" s="47">
        <v>43099</v>
      </c>
      <c r="F10" s="48">
        <v>1150</v>
      </c>
      <c r="G10" s="49">
        <v>14</v>
      </c>
      <c r="H10" s="49">
        <v>24</v>
      </c>
      <c r="I10" s="50">
        <f t="shared" ref="I10:I13" si="0">F10/12*G10</f>
        <v>1341.6666666666665</v>
      </c>
      <c r="J10" s="50">
        <f t="shared" ref="J10:J13" si="1">F10/12/20.67*H10</f>
        <v>111.27237542331881</v>
      </c>
      <c r="K10" s="50">
        <f t="shared" ref="K10:K13" si="2">I10+J10</f>
        <v>1452.9390420899854</v>
      </c>
      <c r="L10" s="49">
        <v>12</v>
      </c>
      <c r="M10" s="51">
        <f t="shared" ref="M10:M13" si="3">(F10/20.67)*L10</f>
        <v>667.63425253991284</v>
      </c>
      <c r="N10" s="51">
        <f t="shared" ref="N10:N13" si="4">SUM(K10+M10)</f>
        <v>2120.5732946298981</v>
      </c>
      <c r="O10" s="39">
        <f>N10</f>
        <v>2120.5732946298981</v>
      </c>
    </row>
    <row r="11" spans="1:15" ht="47.25" customHeight="1">
      <c r="A11" s="44">
        <v>16</v>
      </c>
      <c r="B11" s="45" t="s">
        <v>15</v>
      </c>
      <c r="C11" s="31" t="s">
        <v>40</v>
      </c>
      <c r="D11" s="52">
        <v>42614</v>
      </c>
      <c r="E11" s="47">
        <v>43099</v>
      </c>
      <c r="F11" s="48">
        <v>1750</v>
      </c>
      <c r="G11" s="49">
        <v>14</v>
      </c>
      <c r="H11" s="49">
        <v>0</v>
      </c>
      <c r="I11" s="50">
        <f t="shared" si="0"/>
        <v>2041.6666666666667</v>
      </c>
      <c r="J11" s="50">
        <f t="shared" si="1"/>
        <v>0</v>
      </c>
      <c r="K11" s="50">
        <f t="shared" si="2"/>
        <v>2041.6666666666667</v>
      </c>
      <c r="L11" s="49">
        <v>17</v>
      </c>
      <c r="M11" s="51">
        <f t="shared" si="3"/>
        <v>1439.2839864537978</v>
      </c>
      <c r="N11" s="51">
        <f t="shared" si="4"/>
        <v>3480.9506531204643</v>
      </c>
      <c r="O11" s="39">
        <f t="shared" ref="O11:O14" si="5">N11</f>
        <v>3480.9506531204643</v>
      </c>
    </row>
    <row r="12" spans="1:15" ht="15.75">
      <c r="A12" s="22">
        <v>17</v>
      </c>
      <c r="B12" s="30" t="s">
        <v>17</v>
      </c>
      <c r="C12" s="30" t="s">
        <v>16</v>
      </c>
      <c r="D12" s="32">
        <v>42805</v>
      </c>
      <c r="E12" s="13">
        <v>43099</v>
      </c>
      <c r="F12" s="26">
        <v>350</v>
      </c>
      <c r="G12" s="15">
        <v>9</v>
      </c>
      <c r="H12" s="15">
        <v>21</v>
      </c>
      <c r="I12" s="16">
        <f t="shared" si="0"/>
        <v>262.5</v>
      </c>
      <c r="J12" s="16">
        <f t="shared" si="1"/>
        <v>29.632317368166422</v>
      </c>
      <c r="K12" s="16">
        <f t="shared" si="2"/>
        <v>292.13231736816641</v>
      </c>
      <c r="L12" s="15">
        <v>11</v>
      </c>
      <c r="M12" s="17">
        <f t="shared" si="3"/>
        <v>186.26028059990324</v>
      </c>
      <c r="N12" s="17">
        <f t="shared" si="4"/>
        <v>478.39259796806965</v>
      </c>
      <c r="O12" s="39">
        <f t="shared" si="5"/>
        <v>478.39259796806965</v>
      </c>
    </row>
    <row r="13" spans="1:15" ht="15.75">
      <c r="A13" s="20">
        <v>18</v>
      </c>
      <c r="B13" s="30" t="s">
        <v>18</v>
      </c>
      <c r="C13" s="30" t="s">
        <v>14</v>
      </c>
      <c r="D13" s="32">
        <v>42775</v>
      </c>
      <c r="E13" s="13">
        <v>43099</v>
      </c>
      <c r="F13" s="26">
        <v>1150</v>
      </c>
      <c r="G13" s="15">
        <v>10</v>
      </c>
      <c r="H13" s="15">
        <v>20</v>
      </c>
      <c r="I13" s="16">
        <f t="shared" si="0"/>
        <v>958.33333333333326</v>
      </c>
      <c r="J13" s="16">
        <f t="shared" si="1"/>
        <v>92.726979519432348</v>
      </c>
      <c r="K13" s="16">
        <f t="shared" si="2"/>
        <v>1051.0603128527655</v>
      </c>
      <c r="L13" s="15">
        <v>10</v>
      </c>
      <c r="M13" s="17">
        <f t="shared" si="3"/>
        <v>556.36187711659409</v>
      </c>
      <c r="N13" s="17">
        <f t="shared" si="4"/>
        <v>1607.4221899693596</v>
      </c>
      <c r="O13" s="39">
        <f t="shared" si="5"/>
        <v>1607.4221899693596</v>
      </c>
    </row>
    <row r="14" spans="1:15" ht="15.75">
      <c r="N14" s="43">
        <f>SUM(N10:N13)</f>
        <v>7687.3387356877911</v>
      </c>
      <c r="O14" s="40">
        <f t="shared" si="5"/>
        <v>7687.3387356877911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 3 End of Service</vt:lpstr>
      <vt:lpstr>CHEC 7 End of Service</vt:lpstr>
      <vt:lpstr>CHEC 1 End of serv.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2018-09-04T15:44:44Z</dcterms:modified>
</cp:coreProperties>
</file>