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440" windowHeight="8925"/>
  </bookViews>
  <sheets>
    <sheet name="Mohammed Ali Zurka" sheetId="1" r:id="rId1"/>
    <sheet name="EOS sheet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2" l="1"/>
  <c r="M8" i="2" l="1"/>
  <c r="J8" i="2"/>
  <c r="I8" i="2"/>
  <c r="K8" i="2" s="1"/>
  <c r="N8" i="2" s="1"/>
  <c r="M3" i="1" l="1"/>
  <c r="J3" i="1"/>
  <c r="I3" i="1"/>
  <c r="K3" i="1" s="1"/>
  <c r="N3" i="1" s="1"/>
</calcChain>
</file>

<file path=xl/sharedStrings.xml><?xml version="1.0" encoding="utf-8"?>
<sst xmlns="http://schemas.openxmlformats.org/spreadsheetml/2006/main" count="38" uniqueCount="22">
  <si>
    <t>序号</t>
  </si>
  <si>
    <t>NAME</t>
    <phoneticPr fontId="0" type="noConversion"/>
  </si>
  <si>
    <t xml:space="preserve"> POSITION</t>
    <phoneticPr fontId="0" type="noConversion"/>
  </si>
  <si>
    <t>APPROACH DATE</t>
  </si>
  <si>
    <t>ENDING DATE</t>
  </si>
  <si>
    <t>BASIC SALARY</t>
  </si>
  <si>
    <t>NO. OF MONTHS</t>
  </si>
  <si>
    <t>NO. OF DAYS</t>
  </si>
  <si>
    <t>MONTHS PAY</t>
  </si>
  <si>
    <t>DAYS PAY</t>
  </si>
  <si>
    <t>SEVERANCE PACKAGE</t>
  </si>
  <si>
    <t>LEAVE ENTITLEMENTS (DAYS)</t>
  </si>
  <si>
    <t>LEAVE PAYMENTS</t>
  </si>
  <si>
    <t>TOTAL</t>
  </si>
  <si>
    <t>MOHAMMED ALI ZURKA</t>
  </si>
  <si>
    <t>HELPER</t>
  </si>
  <si>
    <t>LABOR POWER &amp;CONSULTANCY LIMITED</t>
  </si>
  <si>
    <t>TO: CHINA HARBOUR ENGINEERING COMPANY (GHANA) LIMITED</t>
  </si>
  <si>
    <t>DEPARTMENT:</t>
  </si>
  <si>
    <t>INVOICE SUMMARY OF END OF SERVICE PAYMENTS</t>
  </si>
  <si>
    <t>PERIOD: 19/07/2018</t>
  </si>
  <si>
    <t>TO CHEC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</si>
</sst>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14" fontId="7" fillId="0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43" fontId="9" fillId="0" borderId="1" xfId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2">
    <cellStyle name="Comma 2 2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"/>
  <sheetViews>
    <sheetView tabSelected="1" workbookViewId="0">
      <selection activeCell="E13" sqref="E13"/>
    </sheetView>
  </sheetViews>
  <sheetFormatPr defaultRowHeight="15" x14ac:dyDescent="0.25"/>
  <cols>
    <col min="2" max="2" width="29.140625" customWidth="1"/>
    <col min="3" max="3" width="15.5703125" customWidth="1"/>
    <col min="4" max="4" width="22.5703125" customWidth="1"/>
    <col min="5" max="5" width="18" customWidth="1"/>
    <col min="6" max="6" width="18.42578125" customWidth="1"/>
    <col min="7" max="7" width="20.85546875" customWidth="1"/>
    <col min="8" max="8" width="18.140625" customWidth="1"/>
    <col min="9" max="9" width="19" customWidth="1"/>
    <col min="10" max="10" width="16.7109375" customWidth="1"/>
    <col min="11" max="11" width="26.5703125" customWidth="1"/>
    <col min="12" max="12" width="19.140625" customWidth="1"/>
    <col min="13" max="13" width="22.7109375" customWidth="1"/>
  </cols>
  <sheetData>
    <row r="2" spans="1:14" s="8" customFormat="1" ht="21.95" customHeight="1" x14ac:dyDescent="0.2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7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 spans="1:14" s="8" customFormat="1" ht="15.75" x14ac:dyDescent="0.25">
      <c r="A3" s="1">
        <v>9</v>
      </c>
      <c r="B3" s="9" t="s">
        <v>14</v>
      </c>
      <c r="C3" s="10" t="s">
        <v>15</v>
      </c>
      <c r="D3" s="11">
        <v>43038</v>
      </c>
      <c r="E3" s="12">
        <v>43251</v>
      </c>
      <c r="F3" s="13">
        <v>450</v>
      </c>
      <c r="G3" s="14">
        <v>7</v>
      </c>
      <c r="H3" s="14">
        <v>0</v>
      </c>
      <c r="I3" s="13">
        <f>F3/12*G3</f>
        <v>262.5</v>
      </c>
      <c r="J3" s="13">
        <f>F3/12/20.67*H3</f>
        <v>0</v>
      </c>
      <c r="K3" s="13">
        <f>I3+J3</f>
        <v>262.5</v>
      </c>
      <c r="L3" s="14">
        <v>3</v>
      </c>
      <c r="M3" s="15">
        <f>(F3/20.67)*L3</f>
        <v>65.312046444121918</v>
      </c>
      <c r="N3" s="15">
        <f>SUM(K3+M3)</f>
        <v>327.8120464441219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opLeftCell="E1" workbookViewId="0">
      <selection sqref="A1:A5"/>
    </sheetView>
  </sheetViews>
  <sheetFormatPr defaultRowHeight="15" x14ac:dyDescent="0.25"/>
  <cols>
    <col min="2" max="2" width="29.7109375" customWidth="1"/>
    <col min="3" max="3" width="18.5703125" customWidth="1"/>
    <col min="4" max="4" width="22.140625" customWidth="1"/>
    <col min="5" max="5" width="18.5703125" customWidth="1"/>
    <col min="6" max="6" width="19.5703125" customWidth="1"/>
    <col min="7" max="7" width="23.28515625" customWidth="1"/>
    <col min="8" max="8" width="15.5703125" customWidth="1"/>
    <col min="9" max="9" width="18" customWidth="1"/>
    <col min="10" max="10" width="12.140625" customWidth="1"/>
    <col min="11" max="11" width="29" customWidth="1"/>
    <col min="12" max="12" width="36.140625" customWidth="1"/>
    <col min="13" max="13" width="26.5703125" customWidth="1"/>
    <col min="15" max="15" width="10.5703125" customWidth="1"/>
  </cols>
  <sheetData>
    <row r="1" spans="1:15" x14ac:dyDescent="0.25">
      <c r="A1" s="16" t="s">
        <v>16</v>
      </c>
      <c r="B1" s="16"/>
    </row>
    <row r="2" spans="1:15" x14ac:dyDescent="0.25">
      <c r="A2" s="18" t="s">
        <v>19</v>
      </c>
      <c r="B2" s="16"/>
    </row>
    <row r="3" spans="1:15" x14ac:dyDescent="0.25">
      <c r="A3" s="16" t="s">
        <v>17</v>
      </c>
      <c r="B3" s="16"/>
    </row>
    <row r="4" spans="1:15" x14ac:dyDescent="0.25">
      <c r="A4" s="17" t="s">
        <v>18</v>
      </c>
      <c r="B4" s="16"/>
    </row>
    <row r="5" spans="1:15" x14ac:dyDescent="0.25">
      <c r="A5" s="18" t="s">
        <v>20</v>
      </c>
      <c r="B5" s="16"/>
    </row>
    <row r="7" spans="1:15" s="8" customFormat="1" ht="21.95" customHeight="1" x14ac:dyDescent="0.25">
      <c r="A7" s="1" t="s">
        <v>0</v>
      </c>
      <c r="B7" s="2" t="s">
        <v>1</v>
      </c>
      <c r="C7" s="3" t="s">
        <v>2</v>
      </c>
      <c r="D7" s="4" t="s">
        <v>3</v>
      </c>
      <c r="E7" s="5" t="s">
        <v>4</v>
      </c>
      <c r="F7" s="6" t="s">
        <v>5</v>
      </c>
      <c r="G7" s="7" t="s">
        <v>6</v>
      </c>
      <c r="H7" s="7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6" t="s">
        <v>13</v>
      </c>
      <c r="O7" s="19" t="s">
        <v>21</v>
      </c>
    </row>
    <row r="8" spans="1:15" s="8" customFormat="1" ht="15.75" x14ac:dyDescent="0.25">
      <c r="A8" s="1">
        <v>9</v>
      </c>
      <c r="B8" s="9" t="s">
        <v>14</v>
      </c>
      <c r="C8" s="10" t="s">
        <v>15</v>
      </c>
      <c r="D8" s="11">
        <v>43038</v>
      </c>
      <c r="E8" s="12">
        <v>43251</v>
      </c>
      <c r="F8" s="13">
        <v>450</v>
      </c>
      <c r="G8" s="14">
        <v>7</v>
      </c>
      <c r="H8" s="14">
        <v>0</v>
      </c>
      <c r="I8" s="13">
        <f>F8/12*G8</f>
        <v>262.5</v>
      </c>
      <c r="J8" s="13">
        <f>F8/12/20.67*H8</f>
        <v>0</v>
      </c>
      <c r="K8" s="13">
        <f>I8+J8</f>
        <v>262.5</v>
      </c>
      <c r="L8" s="14">
        <v>3</v>
      </c>
      <c r="M8" s="15">
        <f>(F8/20.67)*L8</f>
        <v>65.312046444121918</v>
      </c>
      <c r="N8" s="15">
        <f>SUM(K8+M8)</f>
        <v>327.8120464441219</v>
      </c>
      <c r="O8" s="20">
        <f>N8</f>
        <v>327.8120464441219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Mohammed Ali Zurka</vt:lpstr>
      <vt:lpstr>EOS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David@laborpowerltd</cp:lastModifiedBy>
  <dcterms:created xsi:type="dcterms:W3CDTF">2018-07-19T11:57:49Z</dcterms:created>
  <dcterms:modified xsi:type="dcterms:W3CDTF">2018-09-04T15:50:43Z</dcterms:modified>
</cp:coreProperties>
</file>