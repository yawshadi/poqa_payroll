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40" windowHeight="9525"/>
  </bookViews>
  <sheets>
    <sheet name="redundancy payments" sheetId="4" r:id="rId1"/>
  </sheets>
  <calcPr calcId="144525"/>
</workbook>
</file>

<file path=xl/calcChain.xml><?xml version="1.0" encoding="utf-8"?>
<calcChain xmlns="http://schemas.openxmlformats.org/spreadsheetml/2006/main">
  <c r="M26" i="4" l="1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8" i="4"/>
  <c r="N26" i="4"/>
  <c r="L26" i="4"/>
  <c r="K26" i="4"/>
  <c r="J26" i="4"/>
  <c r="I26" i="4"/>
  <c r="O26" i="4" l="1"/>
</calcChain>
</file>

<file path=xl/sharedStrings.xml><?xml version="1.0" encoding="utf-8"?>
<sst xmlns="http://schemas.openxmlformats.org/spreadsheetml/2006/main" count="57" uniqueCount="48">
  <si>
    <t>序号</t>
  </si>
  <si>
    <t>TO CHEC</t>
  </si>
  <si>
    <t>TOTAL</t>
  </si>
  <si>
    <t>DEPARTMENT: CHEC 3 BREAKWATER</t>
  </si>
  <si>
    <t>LABOR POWER &amp;CONSULTANCY LIMITED</t>
  </si>
  <si>
    <t>TO: CHINA HARBOUR ENGINEERING COMPANY (GHANA) LIMITED</t>
  </si>
  <si>
    <t xml:space="preserve">INVOICE SUMMARY ON REDUNDANCY PAYMENTS </t>
  </si>
  <si>
    <t>APPROACH DATE</t>
  </si>
  <si>
    <t>ENDING DATE</t>
  </si>
  <si>
    <t>BASIC SALARY</t>
  </si>
  <si>
    <t>NO. OF MONTHS</t>
  </si>
  <si>
    <t>NO. OF DAYS</t>
  </si>
  <si>
    <t>MONTHS PAY</t>
  </si>
  <si>
    <t>DAYS PAY</t>
  </si>
  <si>
    <t>SEVERANCE PACKAGE</t>
  </si>
  <si>
    <t>LEAVE ENTITLEMENTS (DAYS)</t>
  </si>
  <si>
    <t>LEAVE PAYMENTS</t>
  </si>
  <si>
    <t>防波堤队伍工人遣散费用名单</t>
    <phoneticPr fontId="2" type="noConversion"/>
  </si>
  <si>
    <t>NAME</t>
    <phoneticPr fontId="2" type="noConversion"/>
  </si>
  <si>
    <t xml:space="preserve"> POSITION</t>
    <phoneticPr fontId="2" type="noConversion"/>
  </si>
  <si>
    <t>FREDERICK KWOFIE</t>
  </si>
  <si>
    <t>TECHNICAL OFFIER</t>
  </si>
  <si>
    <t>THERESA ASIAMAH</t>
  </si>
  <si>
    <t>CLEANER</t>
  </si>
  <si>
    <t>NAKI  HELENA TETTEH</t>
  </si>
  <si>
    <t>ESTHER NINSON</t>
  </si>
  <si>
    <t>JEFFREY J JONES</t>
  </si>
  <si>
    <t>TRANSLATOR</t>
  </si>
  <si>
    <t>AZAGLO WISDOM</t>
  </si>
  <si>
    <t>TIPPER DRIVER</t>
  </si>
  <si>
    <t>PAINSTIL MICHEAL KOFI</t>
  </si>
  <si>
    <t xml:space="preserve"> HELPER</t>
  </si>
  <si>
    <t>GEORGE SARPONG</t>
  </si>
  <si>
    <t>HARRISON SAMUEL DOKU</t>
  </si>
  <si>
    <t>RIGGER</t>
  </si>
  <si>
    <t>DANIEL DJAN OTOPAH</t>
  </si>
  <si>
    <t>OKAI WILFRED ARMAH</t>
  </si>
  <si>
    <t>CARPENTER</t>
  </si>
  <si>
    <t>ANTHONY TAGBORLO</t>
  </si>
  <si>
    <t>WELDER</t>
  </si>
  <si>
    <t>ISAAC HEMANS</t>
  </si>
  <si>
    <t>SAMUEL ADIKU</t>
  </si>
  <si>
    <t>HELPER</t>
  </si>
  <si>
    <t>SAMUEL ACKAH</t>
  </si>
  <si>
    <t>DAVID ATINGA</t>
  </si>
  <si>
    <t>KWAO SEKYI BENTI</t>
  </si>
  <si>
    <t>OUMAR YOUNOUSSAH</t>
  </si>
  <si>
    <t>PERIOD: 18/06/2018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</si>
</sst>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[$-409]d\-mmm\-yy;@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indexed="8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43" fontId="10" fillId="0" borderId="1" xfId="1" applyFont="1" applyFill="1" applyBorder="1" applyAlignment="1"/>
    <xf numFmtId="43" fontId="10" fillId="0" borderId="1" xfId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4" fontId="6" fillId="0" borderId="0" xfId="0" applyNumberFormat="1" applyFont="1" applyFill="1" applyBorder="1" applyAlignment="1">
      <alignment horizontal="center" vertical="top"/>
    </xf>
    <xf numFmtId="14" fontId="6" fillId="0" borderId="0" xfId="0" applyNumberFormat="1" applyFont="1" applyFill="1" applyBorder="1" applyAlignment="1">
      <alignment vertical="top"/>
    </xf>
    <xf numFmtId="0" fontId="8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Fill="1" applyBorder="1" applyAlignment="1">
      <alignment horizontal="right" vertical="center"/>
    </xf>
    <xf numFmtId="4" fontId="11" fillId="0" borderId="1" xfId="0" applyNumberFormat="1" applyFont="1" applyBorder="1" applyAlignment="1">
      <alignment vertical="center"/>
    </xf>
    <xf numFmtId="4" fontId="11" fillId="0" borderId="1" xfId="0" applyNumberFormat="1" applyFont="1" applyBorder="1">
      <alignment vertical="center"/>
    </xf>
    <xf numFmtId="2" fontId="10" fillId="0" borderId="1" xfId="0" applyNumberFormat="1" applyFont="1" applyBorder="1">
      <alignment vertical="center"/>
    </xf>
    <xf numFmtId="0" fontId="8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</cellXfs>
  <cellStyles count="2">
    <cellStyle name="Comma 2 2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Views>
    <sheetView tabSelected="1" topLeftCell="I1" workbookViewId="0">
      <selection activeCell="L29" sqref="L29"/>
    </sheetView>
  </sheetViews>
  <sheetFormatPr defaultRowHeight="15"/>
  <cols>
    <col min="2" max="2" width="28.42578125" customWidth="1"/>
    <col min="3" max="3" width="23.42578125" customWidth="1"/>
    <col min="4" max="4" width="14.85546875" customWidth="1"/>
    <col min="5" max="5" width="16.85546875" customWidth="1"/>
    <col min="6" max="6" width="23.5703125" customWidth="1"/>
    <col min="7" max="7" width="20" customWidth="1"/>
    <col min="8" max="8" width="17.28515625" customWidth="1"/>
    <col min="9" max="9" width="17.85546875" customWidth="1"/>
    <col min="10" max="10" width="15.140625" customWidth="1"/>
    <col min="11" max="11" width="27.85546875" customWidth="1"/>
    <col min="12" max="12" width="37.7109375" customWidth="1"/>
    <col min="13" max="13" width="22.42578125" customWidth="1"/>
    <col min="14" max="14" width="16.42578125" customWidth="1"/>
    <col min="15" max="15" width="14.28515625" customWidth="1"/>
  </cols>
  <sheetData>
    <row r="1" spans="1:16">
      <c r="A1" t="s">
        <v>4</v>
      </c>
    </row>
    <row r="2" spans="1:16">
      <c r="A2" s="2" t="s">
        <v>6</v>
      </c>
    </row>
    <row r="3" spans="1:16">
      <c r="A3" t="s">
        <v>5</v>
      </c>
    </row>
    <row r="4" spans="1:16">
      <c r="A4" t="s">
        <v>3</v>
      </c>
    </row>
    <row r="5" spans="1:16">
      <c r="A5" s="34" t="s">
        <v>47</v>
      </c>
    </row>
    <row r="6" spans="1:16" ht="18.7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0"/>
      <c r="L6" s="21"/>
      <c r="M6" s="21"/>
      <c r="N6" s="21"/>
    </row>
    <row r="7" spans="1:16" ht="106.5" customHeight="1">
      <c r="A7" s="22" t="s">
        <v>0</v>
      </c>
      <c r="B7" s="23" t="s">
        <v>18</v>
      </c>
      <c r="C7" s="23" t="s">
        <v>19</v>
      </c>
      <c r="D7" s="23" t="s">
        <v>7</v>
      </c>
      <c r="E7" s="24" t="s">
        <v>8</v>
      </c>
      <c r="F7" s="23" t="s">
        <v>9</v>
      </c>
      <c r="G7" s="25" t="s">
        <v>10</v>
      </c>
      <c r="H7" s="25" t="s">
        <v>11</v>
      </c>
      <c r="I7" s="23" t="s">
        <v>12</v>
      </c>
      <c r="J7" s="23" t="s">
        <v>13</v>
      </c>
      <c r="K7" s="23" t="s">
        <v>14</v>
      </c>
      <c r="L7" s="23" t="s">
        <v>15</v>
      </c>
      <c r="M7" s="26" t="s">
        <v>16</v>
      </c>
      <c r="N7" s="26" t="s">
        <v>2</v>
      </c>
      <c r="O7" s="13" t="s">
        <v>1</v>
      </c>
      <c r="P7" s="19"/>
    </row>
    <row r="8" spans="1:16" ht="18.75">
      <c r="A8" s="5">
        <v>1</v>
      </c>
      <c r="B8" s="27" t="s">
        <v>20</v>
      </c>
      <c r="C8" s="27" t="s">
        <v>21</v>
      </c>
      <c r="D8" s="28">
        <v>43062</v>
      </c>
      <c r="E8" s="29">
        <v>43251</v>
      </c>
      <c r="F8" s="3">
        <v>1050</v>
      </c>
      <c r="G8" s="5">
        <v>6</v>
      </c>
      <c r="H8" s="5">
        <v>8</v>
      </c>
      <c r="I8" s="4">
        <v>525</v>
      </c>
      <c r="J8" s="4">
        <v>33.865505563618768</v>
      </c>
      <c r="K8" s="4">
        <v>558.86550556361874</v>
      </c>
      <c r="L8" s="5">
        <v>8</v>
      </c>
      <c r="M8" s="30">
        <v>406.38606676342522</v>
      </c>
      <c r="N8" s="30">
        <v>965.25157232704396</v>
      </c>
      <c r="O8" s="18">
        <f>N8</f>
        <v>965.25157232704396</v>
      </c>
    </row>
    <row r="9" spans="1:16" ht="18.75">
      <c r="A9" s="5">
        <v>2</v>
      </c>
      <c r="B9" s="27" t="s">
        <v>22</v>
      </c>
      <c r="C9" s="27" t="s">
        <v>23</v>
      </c>
      <c r="D9" s="28">
        <v>42805</v>
      </c>
      <c r="E9" s="29">
        <v>43251</v>
      </c>
      <c r="F9" s="3">
        <v>350</v>
      </c>
      <c r="G9" s="5">
        <v>14</v>
      </c>
      <c r="H9" s="5">
        <v>21</v>
      </c>
      <c r="I9" s="4">
        <v>408.33333333333337</v>
      </c>
      <c r="J9" s="4">
        <v>29.632317368166422</v>
      </c>
      <c r="K9" s="4">
        <v>437.96565070149978</v>
      </c>
      <c r="L9" s="5">
        <v>17</v>
      </c>
      <c r="M9" s="30">
        <v>287.85679729075952</v>
      </c>
      <c r="N9" s="30">
        <v>725.8224479922593</v>
      </c>
      <c r="O9" s="18">
        <f t="shared" ref="O9:O25" si="0">N9</f>
        <v>725.8224479922593</v>
      </c>
    </row>
    <row r="10" spans="1:16" ht="18.75">
      <c r="A10" s="5">
        <v>3</v>
      </c>
      <c r="B10" s="31" t="s">
        <v>24</v>
      </c>
      <c r="C10" s="27" t="s">
        <v>23</v>
      </c>
      <c r="D10" s="28">
        <v>42815</v>
      </c>
      <c r="E10" s="29">
        <v>43251</v>
      </c>
      <c r="F10" s="3">
        <v>350</v>
      </c>
      <c r="G10" s="7">
        <v>14</v>
      </c>
      <c r="H10" s="7">
        <v>11</v>
      </c>
      <c r="I10" s="4">
        <v>408.33333333333337</v>
      </c>
      <c r="J10" s="4">
        <v>15.521690049991935</v>
      </c>
      <c r="K10" s="4">
        <v>423.85502338332532</v>
      </c>
      <c r="L10" s="7">
        <v>17</v>
      </c>
      <c r="M10" s="30">
        <v>287.85679729075952</v>
      </c>
      <c r="N10" s="30">
        <v>711.71182067408483</v>
      </c>
      <c r="O10" s="18">
        <f t="shared" si="0"/>
        <v>711.71182067408483</v>
      </c>
    </row>
    <row r="11" spans="1:16" ht="18.75">
      <c r="A11" s="5">
        <v>4</v>
      </c>
      <c r="B11" s="27" t="s">
        <v>25</v>
      </c>
      <c r="C11" s="27" t="s">
        <v>23</v>
      </c>
      <c r="D11" s="28">
        <v>42809</v>
      </c>
      <c r="E11" s="29">
        <v>43251</v>
      </c>
      <c r="F11" s="3">
        <v>350</v>
      </c>
      <c r="G11" s="7">
        <v>14</v>
      </c>
      <c r="H11" s="7">
        <v>17</v>
      </c>
      <c r="I11" s="4">
        <v>408.33333333333337</v>
      </c>
      <c r="J11" s="4">
        <v>23.988066440896628</v>
      </c>
      <c r="K11" s="4">
        <v>432.32139977422997</v>
      </c>
      <c r="L11" s="7">
        <v>17</v>
      </c>
      <c r="M11" s="30">
        <v>287.85679729075952</v>
      </c>
      <c r="N11" s="30">
        <v>720.17819706498949</v>
      </c>
      <c r="O11" s="18">
        <f t="shared" si="0"/>
        <v>720.17819706498949</v>
      </c>
    </row>
    <row r="12" spans="1:16" ht="18.75">
      <c r="A12" s="32">
        <v>5</v>
      </c>
      <c r="B12" s="27" t="s">
        <v>26</v>
      </c>
      <c r="C12" s="27" t="s">
        <v>27</v>
      </c>
      <c r="D12" s="33">
        <v>42887</v>
      </c>
      <c r="E12" s="29">
        <v>43251</v>
      </c>
      <c r="F12" s="3">
        <v>1450</v>
      </c>
      <c r="G12" s="8">
        <v>12</v>
      </c>
      <c r="H12" s="8">
        <v>0</v>
      </c>
      <c r="I12" s="4">
        <v>1450</v>
      </c>
      <c r="J12" s="4">
        <v>0</v>
      </c>
      <c r="K12" s="4">
        <v>1450</v>
      </c>
      <c r="L12" s="8">
        <v>15</v>
      </c>
      <c r="M12" s="30">
        <v>1052.2496371552975</v>
      </c>
      <c r="N12" s="30">
        <v>2502.2496371552975</v>
      </c>
      <c r="O12" s="18">
        <f t="shared" si="0"/>
        <v>2502.2496371552975</v>
      </c>
    </row>
    <row r="13" spans="1:16" ht="18.75">
      <c r="A13" s="5">
        <v>6</v>
      </c>
      <c r="B13" s="27" t="s">
        <v>28</v>
      </c>
      <c r="C13" s="27" t="s">
        <v>29</v>
      </c>
      <c r="D13" s="28">
        <v>42796</v>
      </c>
      <c r="E13" s="29">
        <v>43251</v>
      </c>
      <c r="F13" s="3">
        <v>650</v>
      </c>
      <c r="G13" s="7">
        <v>14</v>
      </c>
      <c r="H13" s="7">
        <v>30</v>
      </c>
      <c r="I13" s="4">
        <v>758.33333333333326</v>
      </c>
      <c r="J13" s="4">
        <v>78.616352201257854</v>
      </c>
      <c r="K13" s="4">
        <v>836.94968553459114</v>
      </c>
      <c r="L13" s="7">
        <v>17</v>
      </c>
      <c r="M13" s="30">
        <v>534.5911949685534</v>
      </c>
      <c r="N13" s="30">
        <v>1371.5408805031445</v>
      </c>
      <c r="O13" s="18">
        <f t="shared" si="0"/>
        <v>1371.5408805031445</v>
      </c>
    </row>
    <row r="14" spans="1:16" ht="18.75">
      <c r="A14" s="5">
        <v>7</v>
      </c>
      <c r="B14" s="27" t="s">
        <v>30</v>
      </c>
      <c r="C14" s="27" t="s">
        <v>31</v>
      </c>
      <c r="D14" s="28">
        <v>43028</v>
      </c>
      <c r="E14" s="29">
        <v>43251</v>
      </c>
      <c r="F14" s="3">
        <v>450</v>
      </c>
      <c r="G14" s="9">
        <v>7</v>
      </c>
      <c r="H14" s="9">
        <v>12</v>
      </c>
      <c r="I14" s="4">
        <v>262.5</v>
      </c>
      <c r="J14" s="4">
        <v>21.770682148040635</v>
      </c>
      <c r="K14" s="4">
        <v>284.27068214804063</v>
      </c>
      <c r="L14" s="9">
        <v>9</v>
      </c>
      <c r="M14" s="30">
        <v>195.93613933236574</v>
      </c>
      <c r="N14" s="30">
        <v>480.20682148040635</v>
      </c>
      <c r="O14" s="18">
        <f t="shared" si="0"/>
        <v>480.20682148040635</v>
      </c>
    </row>
    <row r="15" spans="1:16" ht="18.75">
      <c r="A15" s="5">
        <v>8</v>
      </c>
      <c r="B15" s="27" t="s">
        <v>32</v>
      </c>
      <c r="C15" s="27" t="s">
        <v>31</v>
      </c>
      <c r="D15" s="28">
        <v>43050</v>
      </c>
      <c r="E15" s="29">
        <v>43251</v>
      </c>
      <c r="F15" s="3">
        <v>450</v>
      </c>
      <c r="G15" s="5">
        <v>6</v>
      </c>
      <c r="H15" s="5">
        <v>20</v>
      </c>
      <c r="I15" s="4">
        <v>225</v>
      </c>
      <c r="J15" s="4">
        <v>36.284470246734394</v>
      </c>
      <c r="K15" s="4">
        <v>261.28447024673437</v>
      </c>
      <c r="L15" s="5">
        <v>8</v>
      </c>
      <c r="M15" s="30">
        <v>174.16545718432511</v>
      </c>
      <c r="N15" s="30">
        <v>435.44992743105945</v>
      </c>
      <c r="O15" s="18">
        <f t="shared" si="0"/>
        <v>435.44992743105945</v>
      </c>
    </row>
    <row r="16" spans="1:16" ht="18.75">
      <c r="A16" s="5">
        <v>9</v>
      </c>
      <c r="B16" s="27" t="s">
        <v>33</v>
      </c>
      <c r="C16" s="27" t="s">
        <v>34</v>
      </c>
      <c r="D16" s="28">
        <v>42865</v>
      </c>
      <c r="E16" s="29">
        <v>43251</v>
      </c>
      <c r="F16" s="3">
        <v>950</v>
      </c>
      <c r="G16" s="6">
        <v>12</v>
      </c>
      <c r="H16" s="6">
        <v>22</v>
      </c>
      <c r="I16" s="4">
        <v>950</v>
      </c>
      <c r="J16" s="4">
        <v>84.260603128527663</v>
      </c>
      <c r="K16" s="4">
        <v>1034.2606031285277</v>
      </c>
      <c r="L16" s="6">
        <v>15</v>
      </c>
      <c r="M16" s="30">
        <v>689.40493468795353</v>
      </c>
      <c r="N16" s="30">
        <v>1723.6655378164812</v>
      </c>
      <c r="O16" s="18">
        <f t="shared" si="0"/>
        <v>1723.6655378164812</v>
      </c>
    </row>
    <row r="17" spans="1:15" ht="18.75">
      <c r="A17" s="32">
        <v>10</v>
      </c>
      <c r="B17" s="27" t="s">
        <v>35</v>
      </c>
      <c r="C17" s="27" t="s">
        <v>34</v>
      </c>
      <c r="D17" s="28">
        <v>42786</v>
      </c>
      <c r="E17" s="29">
        <v>43251</v>
      </c>
      <c r="F17" s="3">
        <v>950</v>
      </c>
      <c r="G17" s="6">
        <v>15</v>
      </c>
      <c r="H17" s="6">
        <v>9</v>
      </c>
      <c r="I17" s="4">
        <v>1187.5</v>
      </c>
      <c r="J17" s="4">
        <v>34.470246734397676</v>
      </c>
      <c r="K17" s="4">
        <v>1221.9702467343977</v>
      </c>
      <c r="L17" s="6">
        <v>19</v>
      </c>
      <c r="M17" s="30">
        <v>873.24625060474114</v>
      </c>
      <c r="N17" s="30">
        <v>2095.2164973391391</v>
      </c>
      <c r="O17" s="18">
        <f t="shared" si="0"/>
        <v>2095.2164973391391</v>
      </c>
    </row>
    <row r="18" spans="1:15" ht="18.75">
      <c r="A18" s="5">
        <v>11</v>
      </c>
      <c r="B18" s="27" t="s">
        <v>36</v>
      </c>
      <c r="C18" s="27" t="s">
        <v>37</v>
      </c>
      <c r="D18" s="28">
        <v>42696</v>
      </c>
      <c r="E18" s="29">
        <v>43251</v>
      </c>
      <c r="F18" s="3">
        <v>650</v>
      </c>
      <c r="G18" s="7">
        <v>18</v>
      </c>
      <c r="H18" s="7">
        <v>10</v>
      </c>
      <c r="I18" s="4">
        <v>975</v>
      </c>
      <c r="J18" s="4">
        <v>26.205450733752617</v>
      </c>
      <c r="K18" s="4">
        <v>1001.2054507337526</v>
      </c>
      <c r="L18" s="7">
        <v>23</v>
      </c>
      <c r="M18" s="30">
        <v>723.27044025157227</v>
      </c>
      <c r="N18" s="30">
        <v>1724.4758909853249</v>
      </c>
      <c r="O18" s="18">
        <f t="shared" si="0"/>
        <v>1724.4758909853249</v>
      </c>
    </row>
    <row r="19" spans="1:15" s="1" customFormat="1" ht="18.75">
      <c r="A19" s="5">
        <v>12</v>
      </c>
      <c r="B19" s="27" t="s">
        <v>38</v>
      </c>
      <c r="C19" s="27" t="s">
        <v>39</v>
      </c>
      <c r="D19" s="28">
        <v>42709</v>
      </c>
      <c r="E19" s="29">
        <v>43251</v>
      </c>
      <c r="F19" s="3">
        <v>650</v>
      </c>
      <c r="G19" s="9">
        <v>17</v>
      </c>
      <c r="H19" s="9">
        <v>27</v>
      </c>
      <c r="I19" s="4">
        <v>920.83333333333326</v>
      </c>
      <c r="J19" s="4">
        <v>70.754716981132063</v>
      </c>
      <c r="K19" s="4">
        <v>991.58805031446536</v>
      </c>
      <c r="L19" s="9">
        <v>21</v>
      </c>
      <c r="M19" s="30">
        <v>660.37735849056605</v>
      </c>
      <c r="N19" s="30">
        <v>1651.9654088050315</v>
      </c>
      <c r="O19" s="18">
        <f t="shared" si="0"/>
        <v>1651.9654088050315</v>
      </c>
    </row>
    <row r="20" spans="1:15" s="1" customFormat="1" ht="18.75">
      <c r="A20" s="5">
        <v>13</v>
      </c>
      <c r="B20" s="27" t="s">
        <v>40</v>
      </c>
      <c r="C20" s="27" t="s">
        <v>31</v>
      </c>
      <c r="D20" s="28">
        <v>42978</v>
      </c>
      <c r="E20" s="29">
        <v>43251</v>
      </c>
      <c r="F20" s="3">
        <v>650</v>
      </c>
      <c r="G20" s="5">
        <v>9</v>
      </c>
      <c r="H20" s="5">
        <v>1</v>
      </c>
      <c r="I20" s="4">
        <v>487.5</v>
      </c>
      <c r="J20" s="4">
        <v>2.6205450733752618</v>
      </c>
      <c r="K20" s="4">
        <v>490.12054507337524</v>
      </c>
      <c r="L20" s="5">
        <v>11</v>
      </c>
      <c r="M20" s="30">
        <v>345.91194968553458</v>
      </c>
      <c r="N20" s="30">
        <v>836.03249475890982</v>
      </c>
      <c r="O20" s="18">
        <f t="shared" si="0"/>
        <v>836.03249475890982</v>
      </c>
    </row>
    <row r="21" spans="1:15" ht="18.75">
      <c r="A21" s="5">
        <v>14</v>
      </c>
      <c r="B21" s="27" t="s">
        <v>41</v>
      </c>
      <c r="C21" s="27" t="s">
        <v>42</v>
      </c>
      <c r="D21" s="28">
        <v>42904</v>
      </c>
      <c r="E21" s="29">
        <v>43251</v>
      </c>
      <c r="F21" s="3">
        <v>450</v>
      </c>
      <c r="G21" s="5">
        <v>11</v>
      </c>
      <c r="H21" s="5">
        <v>13</v>
      </c>
      <c r="I21" s="4">
        <v>412.5</v>
      </c>
      <c r="J21" s="4">
        <v>23.584905660377355</v>
      </c>
      <c r="K21" s="4">
        <v>436.08490566037733</v>
      </c>
      <c r="L21" s="6">
        <v>14</v>
      </c>
      <c r="M21" s="30">
        <v>304.78955007256894</v>
      </c>
      <c r="N21" s="30">
        <v>740.87445573294622</v>
      </c>
      <c r="O21" s="18">
        <f t="shared" si="0"/>
        <v>740.87445573294622</v>
      </c>
    </row>
    <row r="22" spans="1:15" ht="18.75">
      <c r="A22" s="32">
        <v>15</v>
      </c>
      <c r="B22" s="27" t="s">
        <v>43</v>
      </c>
      <c r="C22" s="27" t="s">
        <v>42</v>
      </c>
      <c r="D22" s="28">
        <v>43050</v>
      </c>
      <c r="E22" s="29">
        <v>43251</v>
      </c>
      <c r="F22" s="3">
        <v>450</v>
      </c>
      <c r="G22" s="5">
        <v>6</v>
      </c>
      <c r="H22" s="5">
        <v>20</v>
      </c>
      <c r="I22" s="4">
        <v>225</v>
      </c>
      <c r="J22" s="4">
        <v>36.284470246734394</v>
      </c>
      <c r="K22" s="4">
        <v>261.28447024673437</v>
      </c>
      <c r="L22" s="6">
        <v>8</v>
      </c>
      <c r="M22" s="30">
        <v>174.16545718432511</v>
      </c>
      <c r="N22" s="30">
        <v>435.44992743105945</v>
      </c>
      <c r="O22" s="18">
        <f t="shared" si="0"/>
        <v>435.44992743105945</v>
      </c>
    </row>
    <row r="23" spans="1:15" ht="18.75">
      <c r="A23" s="5">
        <v>16</v>
      </c>
      <c r="B23" s="27" t="s">
        <v>44</v>
      </c>
      <c r="C23" s="27" t="s">
        <v>42</v>
      </c>
      <c r="D23" s="28">
        <v>42866</v>
      </c>
      <c r="E23" s="29">
        <v>43251</v>
      </c>
      <c r="F23" s="3">
        <v>450</v>
      </c>
      <c r="G23" s="5">
        <v>12</v>
      </c>
      <c r="H23" s="5">
        <v>21</v>
      </c>
      <c r="I23" s="4">
        <v>450</v>
      </c>
      <c r="J23" s="4">
        <v>38.098693759071111</v>
      </c>
      <c r="K23" s="4">
        <v>488.09869375907112</v>
      </c>
      <c r="L23" s="6">
        <v>15</v>
      </c>
      <c r="M23" s="30">
        <v>326.56023222060958</v>
      </c>
      <c r="N23" s="30">
        <v>814.6589259796807</v>
      </c>
      <c r="O23" s="18">
        <f t="shared" si="0"/>
        <v>814.6589259796807</v>
      </c>
    </row>
    <row r="24" spans="1:15" ht="18.75">
      <c r="A24" s="5">
        <v>17</v>
      </c>
      <c r="B24" s="27" t="s">
        <v>45</v>
      </c>
      <c r="C24" s="27" t="s">
        <v>42</v>
      </c>
      <c r="D24" s="28">
        <v>42720</v>
      </c>
      <c r="E24" s="29">
        <v>43177</v>
      </c>
      <c r="F24" s="3">
        <v>450</v>
      </c>
      <c r="G24" s="5">
        <v>15</v>
      </c>
      <c r="H24" s="5">
        <v>3</v>
      </c>
      <c r="I24" s="4">
        <v>562.5</v>
      </c>
      <c r="J24" s="4">
        <v>5.4426705370101587</v>
      </c>
      <c r="K24" s="4">
        <v>567.94267053701014</v>
      </c>
      <c r="L24" s="6">
        <v>19</v>
      </c>
      <c r="M24" s="30">
        <v>413.64296081277212</v>
      </c>
      <c r="N24" s="30">
        <v>981.58563134978226</v>
      </c>
      <c r="O24" s="18">
        <f t="shared" si="0"/>
        <v>981.58563134978226</v>
      </c>
    </row>
    <row r="25" spans="1:15" ht="18.75">
      <c r="A25" s="5">
        <v>18</v>
      </c>
      <c r="B25" s="27" t="s">
        <v>46</v>
      </c>
      <c r="C25" s="27" t="s">
        <v>42</v>
      </c>
      <c r="D25" s="28">
        <v>42811</v>
      </c>
      <c r="E25" s="29">
        <v>43177</v>
      </c>
      <c r="F25" s="3">
        <v>450</v>
      </c>
      <c r="G25" s="5">
        <v>12</v>
      </c>
      <c r="H25" s="5">
        <v>2</v>
      </c>
      <c r="I25" s="4">
        <v>450</v>
      </c>
      <c r="J25" s="4">
        <v>3.6284470246734393</v>
      </c>
      <c r="K25" s="4">
        <v>453.62844702467345</v>
      </c>
      <c r="L25" s="6">
        <v>15</v>
      </c>
      <c r="M25" s="30">
        <v>326.56023222060958</v>
      </c>
      <c r="N25" s="30">
        <v>780.18867924528308</v>
      </c>
      <c r="O25" s="18">
        <f t="shared" si="0"/>
        <v>780.18867924528308</v>
      </c>
    </row>
    <row r="26" spans="1:15" ht="20.25">
      <c r="A26" s="10"/>
      <c r="B26" s="10"/>
      <c r="C26" s="10"/>
      <c r="D26" s="10"/>
      <c r="E26" s="11"/>
      <c r="F26" s="12"/>
      <c r="G26" s="11"/>
      <c r="H26" s="12"/>
      <c r="I26" s="14">
        <f t="shared" ref="I26:O26" si="1">SUM(I8:I25)</f>
        <v>11066.666666666666</v>
      </c>
      <c r="J26" s="15">
        <f t="shared" si="1"/>
        <v>565.02983389775829</v>
      </c>
      <c r="K26" s="16">
        <f t="shared" si="1"/>
        <v>11631.696500564425</v>
      </c>
      <c r="L26" s="14">
        <f t="shared" si="1"/>
        <v>268</v>
      </c>
      <c r="M26" s="17">
        <f t="shared" si="1"/>
        <v>8064.8282535074977</v>
      </c>
      <c r="N26" s="17">
        <f t="shared" si="1"/>
        <v>19696.524754071925</v>
      </c>
      <c r="O26" s="17">
        <f t="shared" si="1"/>
        <v>19696.524754071925</v>
      </c>
    </row>
  </sheetData>
  <mergeCells count="1">
    <mergeCell ref="A6:J6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redundancy payments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David@laborpowerltd</cp:lastModifiedBy>
  <cp:lastPrinted>2018-05-29T10:08:27Z</cp:lastPrinted>
  <dcterms:created xsi:type="dcterms:W3CDTF">2018-02-27T11:14:00Z</dcterms:created>
  <dcterms:modified xsi:type="dcterms:W3CDTF">2018-09-04T15:49:27Z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2052-10.1.0.7311</vt:lpwstr>
  </property>
  <property fmtid="{D5CDD505-2E9C-101B-9397-08002B2CF9AE}" pid="3" name="KSOReadingLayout">
    <vt:bool>true</vt:bool>
  </property>
</Properties>
</file>