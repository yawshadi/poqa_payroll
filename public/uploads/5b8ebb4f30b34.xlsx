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est\Desktop\labour power\CHEC PROJECT 2018\August\End of service Benefit\"/>
    </mc:Choice>
  </mc:AlternateContent>
  <xr:revisionPtr revIDLastSave="0" documentId="10_ncr:8100000_{149EE0E2-37FD-47FB-80FA-CCEBE7A16CCD}" xr6:coauthVersionLast="34" xr6:coauthVersionMax="34" xr10:uidLastSave="{00000000-0000-0000-0000-000000000000}"/>
  <bookViews>
    <workbookView xWindow="0" yWindow="0" windowWidth="24000" windowHeight="8925" activeTab="4" xr2:uid="{C9D2C82E-C2CF-4C18-A672-4A3C3BC775AE}"/>
  </bookViews>
  <sheets>
    <sheet name="End of Contract list" sheetId="1" r:id="rId1"/>
    <sheet name="charges" sheetId="2" r:id="rId2"/>
    <sheet name="invoice" sheetId="3" r:id="rId3"/>
    <sheet name="End of service payments" sheetId="4" r:id="rId4"/>
    <sheet name="invoice 2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9" i="5" l="1"/>
  <c r="N12" i="4"/>
  <c r="O12" i="4"/>
  <c r="O10" i="4"/>
  <c r="O11" i="4"/>
  <c r="O9" i="4"/>
  <c r="G31" i="5"/>
  <c r="G19" i="5"/>
  <c r="G32" i="5" s="1"/>
  <c r="M11" i="4"/>
  <c r="J11" i="4"/>
  <c r="I11" i="4"/>
  <c r="K11" i="4" s="1"/>
  <c r="G32" i="3"/>
  <c r="E21" i="3"/>
  <c r="G21" i="3" s="1"/>
  <c r="G31" i="3" s="1"/>
  <c r="G22" i="3"/>
  <c r="G19" i="3"/>
  <c r="N11" i="2"/>
  <c r="O11" i="2"/>
  <c r="P11" i="2"/>
  <c r="Q11" i="2"/>
  <c r="Q9" i="2"/>
  <c r="Q10" i="2"/>
  <c r="Q8" i="2"/>
  <c r="P9" i="2"/>
  <c r="P10" i="2"/>
  <c r="P8" i="2"/>
  <c r="O9" i="2"/>
  <c r="O10" i="2"/>
  <c r="O8" i="2"/>
  <c r="M10" i="2"/>
  <c r="J10" i="2"/>
  <c r="I10" i="2"/>
  <c r="K10" i="2" s="1"/>
  <c r="N11" i="4" l="1"/>
  <c r="G34" i="3"/>
  <c r="N10" i="2"/>
  <c r="M4" i="1" l="1"/>
  <c r="J4" i="1"/>
  <c r="I4" i="1"/>
  <c r="K4" i="1" l="1"/>
  <c r="N4" i="1" s="1"/>
</calcChain>
</file>

<file path=xl/sharedStrings.xml><?xml version="1.0" encoding="utf-8"?>
<sst xmlns="http://schemas.openxmlformats.org/spreadsheetml/2006/main" count="109" uniqueCount="51">
  <si>
    <t>序号</t>
  </si>
  <si>
    <t>NAME</t>
    <phoneticPr fontId="0" type="noConversion"/>
  </si>
  <si>
    <t xml:space="preserve"> POSITION</t>
    <phoneticPr fontId="0" type="noConversion"/>
  </si>
  <si>
    <t>APPROACH DATE</t>
  </si>
  <si>
    <t>ENDING DATE</t>
  </si>
  <si>
    <t>BASIC SALARY</t>
  </si>
  <si>
    <t>NO. OF MONTHS</t>
  </si>
  <si>
    <t>NO. OF DAYS</t>
  </si>
  <si>
    <t>MONTHS PAY</t>
  </si>
  <si>
    <t>DAYS PAY</t>
  </si>
  <si>
    <t>SEVERANCE PACKAGE</t>
  </si>
  <si>
    <t>LEAVE ENTITLEMENTS (DAYS)</t>
  </si>
  <si>
    <t>LEAVE PAYMENTS</t>
  </si>
  <si>
    <t>TOTAL</t>
  </si>
  <si>
    <t>GLORIA MAHA</t>
  </si>
  <si>
    <t>HR OFFICER</t>
  </si>
  <si>
    <t>FIATUSE SLYVESTER</t>
  </si>
  <si>
    <t>BULL DOZER OPERATOR</t>
  </si>
  <si>
    <t>ZURKA ALI MOHAMMED</t>
  </si>
  <si>
    <t>HELPER</t>
  </si>
  <si>
    <t>LABOR POWER &amp;CONSULTANCY LIMITED</t>
  </si>
  <si>
    <t>INVOICE SUMMARY ON CHARGES ON REDUNDANCY PAYMENTS</t>
  </si>
  <si>
    <t>TO: CHINA HARBOUR ENGINEERING COMPANY (GHANA) LIMITED</t>
  </si>
  <si>
    <t>PERIOD: 18/06/2018</t>
  </si>
  <si>
    <t>13% MGT CHARGES</t>
  </si>
  <si>
    <t>17.5% VAT ON MGT FEES</t>
  </si>
  <si>
    <t>TO CHEC</t>
  </si>
  <si>
    <t>OFFICIAL INVOICE</t>
  </si>
  <si>
    <t>DATE / PERIOD: 18/06/2018</t>
  </si>
  <si>
    <t>TIN NUMBER : C0003561607</t>
  </si>
  <si>
    <t xml:space="preserve">INVOICE TO : CHINA HARBOUR ENGINEERING COMPANY (GHANA) LIMITED </t>
  </si>
  <si>
    <t>DISCRIPTION</t>
  </si>
  <si>
    <t>UNIT</t>
  </si>
  <si>
    <t>AMOUNT</t>
  </si>
  <si>
    <r>
      <t>TOTAL (GH</t>
    </r>
    <r>
      <rPr>
        <b/>
        <sz val="12"/>
        <color theme="1"/>
        <rFont val="Calibri"/>
        <family val="2"/>
      </rPr>
      <t>¢</t>
    </r>
    <r>
      <rPr>
        <b/>
        <sz val="12"/>
        <color theme="1"/>
        <rFont val="Calibri"/>
        <family val="2"/>
        <scheme val="minor"/>
      </rPr>
      <t>)</t>
    </r>
  </si>
  <si>
    <t>TOTAL LABOUR COST</t>
  </si>
  <si>
    <t>COMPENSATION</t>
  </si>
  <si>
    <t>TOTAL FEES</t>
  </si>
  <si>
    <t>17.5 VAT ON TOTAL FEES</t>
  </si>
  <si>
    <t>TOTAL AMOUNT</t>
  </si>
  <si>
    <t>PLEASE RENDER PAYMENT TO : LABOR POWER AND CONSULT / STANBIC BANK LTD</t>
  </si>
  <si>
    <t>ACCOUNT NUMBER : 0140074118001</t>
  </si>
  <si>
    <t>TERMS : PAYMENT SHOULD BE MADE NOT LATER THAN ONE WEEK</t>
  </si>
  <si>
    <t>DATE / PERIOD: 20/08/2018</t>
  </si>
  <si>
    <t>INVOICE NUMBER : LP-CH0058</t>
  </si>
  <si>
    <t>CHARGES ON END OF CONTRACT  PAYMENTS</t>
  </si>
  <si>
    <t>INVOICE SUMMARY ON END OF CONTRACT PAYMENTS</t>
  </si>
  <si>
    <t>8INVOICE NUMBER : LP-CH0059</t>
  </si>
  <si>
    <t>REDUNDANCY PAYMENTS</t>
  </si>
  <si>
    <t>TOTAL REDUNDANCY PAYMENTS</t>
  </si>
  <si>
    <t>DEPARTMENT: CHEC 1 OFFICERS,COMPACTION &amp; CASSION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</si>
</sst>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[$-409]d\-mmm\-yy;@"/>
  </numFmts>
  <fonts count="15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0"/>
      <name val="Arial"/>
      <family val="2"/>
    </font>
    <font>
      <sz val="14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1"/>
      <name val="Calibri"/>
      <family val="2"/>
      <scheme val="minor"/>
    </font>
    <font>
      <sz val="9"/>
      <color theme="1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164" fontId="5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130">
    <xf numFmtId="0" fontId="0" fillId="0" borderId="0" xfId="0"/>
    <xf numFmtId="0" fontId="1" fillId="0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14" fontId="4" fillId="2" borderId="2" xfId="0" applyNumberFormat="1" applyFont="1" applyFill="1" applyBorder="1" applyAlignment="1">
      <alignment horizontal="center" vertical="center"/>
    </xf>
    <xf numFmtId="14" fontId="1" fillId="3" borderId="2" xfId="0" applyNumberFormat="1" applyFont="1" applyFill="1" applyBorder="1" applyAlignment="1">
      <alignment horizontal="center" vertical="center"/>
    </xf>
    <xf numFmtId="164" fontId="1" fillId="4" borderId="2" xfId="1" applyFont="1" applyFill="1" applyBorder="1" applyAlignment="1"/>
    <xf numFmtId="0" fontId="1" fillId="4" borderId="2" xfId="0" applyFont="1" applyFill="1" applyBorder="1" applyAlignment="1">
      <alignment horizontal="center" vertical="center"/>
    </xf>
    <xf numFmtId="164" fontId="1" fillId="4" borderId="2" xfId="1" applyFont="1" applyFill="1" applyBorder="1" applyAlignment="1">
      <alignment horizontal="center"/>
    </xf>
    <xf numFmtId="164" fontId="1" fillId="5" borderId="2" xfId="1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 vertical="center"/>
    </xf>
    <xf numFmtId="2" fontId="1" fillId="7" borderId="2" xfId="0" applyNumberFormat="1" applyFont="1" applyFill="1" applyBorder="1" applyAlignment="1">
      <alignment vertical="center"/>
    </xf>
    <xf numFmtId="2" fontId="1" fillId="8" borderId="2" xfId="0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65" fontId="2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7" fillId="0" borderId="0" xfId="0" applyFont="1" applyAlignment="1">
      <alignment vertical="center"/>
    </xf>
    <xf numFmtId="0" fontId="2" fillId="0" borderId="2" xfId="0" applyFont="1" applyFill="1" applyBorder="1" applyAlignment="1">
      <alignment vertical="center" wrapText="1"/>
    </xf>
    <xf numFmtId="2" fontId="1" fillId="0" borderId="2" xfId="0" applyNumberFormat="1" applyFont="1" applyBorder="1"/>
    <xf numFmtId="2" fontId="1" fillId="7" borderId="3" xfId="0" applyNumberFormat="1" applyFont="1" applyFill="1" applyBorder="1" applyAlignment="1">
      <alignment vertical="center"/>
    </xf>
    <xf numFmtId="4" fontId="9" fillId="0" borderId="2" xfId="0" applyNumberFormat="1" applyFont="1" applyBorder="1"/>
    <xf numFmtId="0" fontId="0" fillId="0" borderId="0" xfId="0" applyBorder="1" applyAlignment="1"/>
    <xf numFmtId="0" fontId="0" fillId="0" borderId="0" xfId="0" applyAlignment="1"/>
    <xf numFmtId="0" fontId="10" fillId="0" borderId="0" xfId="0" applyFont="1" applyBorder="1" applyAlignment="1">
      <alignment horizontal="center"/>
    </xf>
    <xf numFmtId="0" fontId="8" fillId="0" borderId="0" xfId="0" applyFont="1" applyAlignment="1"/>
    <xf numFmtId="14" fontId="8" fillId="0" borderId="0" xfId="0" applyNumberFormat="1" applyFont="1" applyAlignment="1"/>
    <xf numFmtId="0" fontId="8" fillId="0" borderId="4" xfId="0" applyFont="1" applyBorder="1" applyAlignment="1"/>
    <xf numFmtId="0" fontId="8" fillId="0" borderId="0" xfId="0" applyFont="1" applyBorder="1" applyAlignment="1"/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9" borderId="6" xfId="0" applyFill="1" applyBorder="1" applyAlignment="1"/>
    <xf numFmtId="0" fontId="11" fillId="0" borderId="3" xfId="0" applyFont="1" applyBorder="1" applyAlignment="1"/>
    <xf numFmtId="0" fontId="11" fillId="0" borderId="7" xfId="0" applyFont="1" applyBorder="1" applyAlignment="1"/>
    <xf numFmtId="0" fontId="11" fillId="0" borderId="3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8" fillId="0" borderId="3" xfId="0" applyFont="1" applyBorder="1" applyAlignment="1"/>
    <xf numFmtId="0" fontId="8" fillId="0" borderId="7" xfId="0" applyFont="1" applyBorder="1" applyAlignment="1"/>
    <xf numFmtId="0" fontId="0" fillId="0" borderId="7" xfId="0" applyBorder="1" applyAlignment="1">
      <alignment horizontal="center"/>
    </xf>
    <xf numFmtId="164" fontId="7" fillId="0" borderId="3" xfId="2" applyNumberFormat="1" applyFont="1" applyBorder="1" applyAlignment="1">
      <alignment horizontal="center"/>
    </xf>
    <xf numFmtId="164" fontId="7" fillId="0" borderId="7" xfId="2" applyNumberFormat="1" applyFon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0" fillId="0" borderId="8" xfId="0" applyBorder="1" applyAlignment="1"/>
    <xf numFmtId="0" fontId="0" fillId="0" borderId="9" xfId="0" applyBorder="1" applyAlignment="1"/>
    <xf numFmtId="0" fontId="7" fillId="0" borderId="8" xfId="0" applyFont="1" applyBorder="1" applyAlignment="1">
      <alignment wrapText="1"/>
    </xf>
    <xf numFmtId="0" fontId="0" fillId="0" borderId="9" xfId="0" applyBorder="1" applyAlignment="1">
      <alignment wrapText="1"/>
    </xf>
    <xf numFmtId="9" fontId="0" fillId="0" borderId="3" xfId="0" applyNumberFormat="1" applyBorder="1" applyAlignment="1">
      <alignment horizontal="center"/>
    </xf>
    <xf numFmtId="4" fontId="13" fillId="0" borderId="0" xfId="0" applyNumberFormat="1" applyFont="1" applyAlignment="1"/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164" fontId="7" fillId="0" borderId="5" xfId="2" applyNumberFormat="1" applyFont="1" applyBorder="1" applyAlignment="1">
      <alignment horizontal="center"/>
    </xf>
    <xf numFmtId="0" fontId="0" fillId="0" borderId="3" xfId="0" applyBorder="1" applyAlignment="1">
      <alignment wrapText="1"/>
    </xf>
    <xf numFmtId="0" fontId="0" fillId="0" borderId="7" xfId="0" applyBorder="1" applyAlignment="1">
      <alignment wrapText="1"/>
    </xf>
    <xf numFmtId="9" fontId="0" fillId="0" borderId="2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0" fontId="0" fillId="0" borderId="10" xfId="0" applyBorder="1" applyAlignment="1"/>
    <xf numFmtId="0" fontId="0" fillId="0" borderId="11" xfId="0" applyBorder="1" applyAlignment="1"/>
    <xf numFmtId="9" fontId="0" fillId="0" borderId="10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9" borderId="3" xfId="0" applyFill="1" applyBorder="1" applyAlignment="1"/>
    <xf numFmtId="0" fontId="0" fillId="9" borderId="7" xfId="0" applyFill="1" applyBorder="1" applyAlignment="1"/>
    <xf numFmtId="0" fontId="0" fillId="9" borderId="3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164" fontId="7" fillId="9" borderId="3" xfId="2" applyNumberFormat="1" applyFont="1" applyFill="1" applyBorder="1" applyAlignment="1">
      <alignment horizontal="center"/>
    </xf>
    <xf numFmtId="164" fontId="7" fillId="9" borderId="5" xfId="2" applyNumberFormat="1" applyFont="1" applyFill="1" applyBorder="1" applyAlignment="1">
      <alignment horizontal="center"/>
    </xf>
    <xf numFmtId="164" fontId="7" fillId="0" borderId="5" xfId="2" applyNumberFormat="1" applyFont="1" applyBorder="1" applyAlignment="1">
      <alignment horizontal="center" vertical="center"/>
    </xf>
    <xf numFmtId="0" fontId="0" fillId="0" borderId="8" xfId="0" applyBorder="1" applyAlignment="1">
      <alignment wrapText="1"/>
    </xf>
    <xf numFmtId="9" fontId="0" fillId="0" borderId="7" xfId="0" applyNumberFormat="1" applyBorder="1" applyAlignment="1">
      <alignment horizontal="center"/>
    </xf>
    <xf numFmtId="164" fontId="7" fillId="0" borderId="13" xfId="2" applyNumberFormat="1" applyFont="1" applyBorder="1" applyAlignment="1">
      <alignment horizontal="center"/>
    </xf>
    <xf numFmtId="164" fontId="7" fillId="0" borderId="9" xfId="2" applyNumberFormat="1" applyFont="1" applyBorder="1" applyAlignment="1">
      <alignment horizontal="center"/>
    </xf>
    <xf numFmtId="9" fontId="0" fillId="0" borderId="3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/>
    <xf numFmtId="0" fontId="0" fillId="0" borderId="7" xfId="0" applyBorder="1" applyAlignment="1"/>
    <xf numFmtId="164" fontId="7" fillId="0" borderId="5" xfId="2" applyNumberFormat="1" applyFont="1" applyBorder="1" applyAlignment="1">
      <alignment horizontal="center"/>
    </xf>
    <xf numFmtId="164" fontId="7" fillId="0" borderId="7" xfId="2" applyNumberFormat="1" applyFont="1" applyBorder="1" applyAlignment="1">
      <alignment horizontal="center"/>
    </xf>
    <xf numFmtId="0" fontId="0" fillId="10" borderId="3" xfId="0" applyFill="1" applyBorder="1" applyAlignment="1"/>
    <xf numFmtId="0" fontId="0" fillId="10" borderId="7" xfId="0" applyFill="1" applyBorder="1" applyAlignment="1"/>
    <xf numFmtId="164" fontId="8" fillId="10" borderId="3" xfId="0" applyNumberFormat="1" applyFont="1" applyFill="1" applyBorder="1" applyAlignment="1">
      <alignment horizontal="center"/>
    </xf>
    <xf numFmtId="0" fontId="8" fillId="10" borderId="5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0" fillId="0" borderId="6" xfId="0" applyBorder="1" applyAlignment="1"/>
    <xf numFmtId="0" fontId="0" fillId="0" borderId="0" xfId="0" applyBorder="1" applyAlignment="1">
      <alignment horizontal="center"/>
    </xf>
    <xf numFmtId="0" fontId="8" fillId="0" borderId="6" xfId="0" applyFont="1" applyBorder="1" applyAlignment="1"/>
    <xf numFmtId="0" fontId="14" fillId="0" borderId="10" xfId="0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0" fillId="0" borderId="0" xfId="0" applyFont="1" applyAlignment="1">
      <alignment vertical="center"/>
    </xf>
    <xf numFmtId="0" fontId="0" fillId="11" borderId="6" xfId="0" applyFill="1" applyBorder="1" applyAlignment="1"/>
    <xf numFmtId="0" fontId="7" fillId="0" borderId="3" xfId="0" applyFont="1" applyBorder="1" applyAlignment="1">
      <alignment wrapText="1"/>
    </xf>
    <xf numFmtId="164" fontId="0" fillId="0" borderId="3" xfId="0" applyNumberFormat="1" applyBorder="1" applyAlignment="1"/>
    <xf numFmtId="2" fontId="0" fillId="0" borderId="3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3" xfId="0" applyNumberFormat="1" applyBorder="1" applyAlignment="1"/>
    <xf numFmtId="2" fontId="0" fillId="0" borderId="7" xfId="0" applyNumberFormat="1" applyBorder="1" applyAlignment="1"/>
    <xf numFmtId="0" fontId="0" fillId="0" borderId="13" xfId="0" applyBorder="1" applyAlignment="1">
      <alignment horizontal="center"/>
    </xf>
    <xf numFmtId="0" fontId="0" fillId="0" borderId="5" xfId="0" applyBorder="1" applyAlignment="1"/>
    <xf numFmtId="9" fontId="0" fillId="0" borderId="5" xfId="0" applyNumberFormat="1" applyFill="1" applyBorder="1" applyAlignment="1">
      <alignment horizontal="center" wrapText="1"/>
    </xf>
    <xf numFmtId="9" fontId="0" fillId="0" borderId="7" xfId="0" applyNumberFormat="1" applyFill="1" applyBorder="1" applyAlignment="1">
      <alignment horizontal="center" wrapText="1"/>
    </xf>
    <xf numFmtId="164" fontId="0" fillId="0" borderId="3" xfId="0" applyNumberFormat="1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164" fontId="7" fillId="0" borderId="3" xfId="2" applyNumberFormat="1" applyFont="1" applyFill="1" applyBorder="1" applyAlignment="1"/>
    <xf numFmtId="164" fontId="7" fillId="0" borderId="7" xfId="2" applyNumberFormat="1" applyFont="1" applyFill="1" applyBorder="1" applyAlignment="1"/>
    <xf numFmtId="9" fontId="0" fillId="0" borderId="5" xfId="0" applyNumberFormat="1" applyBorder="1" applyAlignment="1">
      <alignment horizontal="center"/>
    </xf>
    <xf numFmtId="2" fontId="0" fillId="0" borderId="0" xfId="0" applyNumberFormat="1" applyBorder="1" applyAlignment="1"/>
    <xf numFmtId="2" fontId="0" fillId="0" borderId="5" xfId="0" applyNumberFormat="1" applyBorder="1" applyAlignment="1"/>
    <xf numFmtId="0" fontId="0" fillId="0" borderId="3" xfId="0" applyBorder="1" applyAlignment="1">
      <alignment horizontal="center"/>
    </xf>
    <xf numFmtId="0" fontId="0" fillId="0" borderId="3" xfId="0" applyBorder="1" applyAlignment="1"/>
    <xf numFmtId="0" fontId="0" fillId="0" borderId="7" xfId="0" applyBorder="1" applyAlignment="1"/>
    <xf numFmtId="164" fontId="0" fillId="0" borderId="7" xfId="0" applyNumberFormat="1" applyBorder="1" applyAlignment="1"/>
    <xf numFmtId="0" fontId="0" fillId="0" borderId="8" xfId="0" applyBorder="1" applyAlignment="1"/>
    <xf numFmtId="0" fontId="0" fillId="0" borderId="13" xfId="0" applyBorder="1" applyAlignment="1"/>
    <xf numFmtId="0" fontId="0" fillId="0" borderId="14" xfId="0" applyBorder="1" applyAlignment="1"/>
    <xf numFmtId="0" fontId="8" fillId="0" borderId="14" xfId="0" applyFont="1" applyBorder="1" applyAlignment="1"/>
    <xf numFmtId="0" fontId="8" fillId="0" borderId="0" xfId="0" applyFont="1" applyAlignment="1">
      <alignment vertical="center"/>
    </xf>
    <xf numFmtId="0" fontId="8" fillId="0" borderId="0" xfId="0" applyFont="1"/>
  </cellXfs>
  <cellStyles count="3">
    <cellStyle name="Comma" xfId="2" builtinId="3"/>
    <cellStyle name="Comma 2 2 2" xfId="1" xr:uid="{6292CFF3-430B-4974-BCAA-85D0FCD9CFB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251460</xdr:colOff>
      <xdr:row>0</xdr:row>
      <xdr:rowOff>60960</xdr:rowOff>
    </xdr:from>
    <xdr:to>
      <xdr:col>8</xdr:col>
      <xdr:colOff>280035</xdr:colOff>
      <xdr:row>7</xdr:row>
      <xdr:rowOff>83820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7E11E8-E14C-4256-B081-880B24289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1460" y="60960"/>
          <a:ext cx="4905375" cy="13563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76201</xdr:colOff>
      <xdr:row>41</xdr:row>
      <xdr:rowOff>152400</xdr:rowOff>
    </xdr:from>
    <xdr:to>
      <xdr:col>7</xdr:col>
      <xdr:colOff>581025</xdr:colOff>
      <xdr:row>43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DCC9A3C-47F5-4F79-A520-643AE9F19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6201" y="8020050"/>
          <a:ext cx="5114924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502920</xdr:colOff>
      <xdr:row>0</xdr:row>
      <xdr:rowOff>137160</xdr:rowOff>
    </xdr:from>
    <xdr:to>
      <xdr:col>7</xdr:col>
      <xdr:colOff>403860</xdr:colOff>
      <xdr:row>7</xdr:row>
      <xdr:rowOff>160020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3B2D08-169D-4B6E-97B3-EEA6E908D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2920" y="137160"/>
          <a:ext cx="4168140" cy="13563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30479</xdr:colOff>
      <xdr:row>39</xdr:row>
      <xdr:rowOff>129541</xdr:rowOff>
    </xdr:from>
    <xdr:to>
      <xdr:col>7</xdr:col>
      <xdr:colOff>400050</xdr:colOff>
      <xdr:row>42</xdr:row>
      <xdr:rowOff>57151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E97C85-4BA5-4432-AC21-AD61924B84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0479" y="7616191"/>
          <a:ext cx="5255896" cy="49911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FA67C-F12E-49A9-B648-2097B568EC64}">
  <dimension ref="A1:N8"/>
  <sheetViews>
    <sheetView workbookViewId="0">
      <selection activeCell="B3" sqref="B3"/>
    </sheetView>
  </sheetViews>
  <sheetFormatPr defaultRowHeight="15" x14ac:dyDescent="0.25"/>
  <cols>
    <col min="2" max="2" width="34.85546875" customWidth="1"/>
    <col min="3" max="3" width="29" customWidth="1"/>
    <col min="4" max="4" width="21" customWidth="1"/>
    <col min="5" max="5" width="21.5703125" customWidth="1"/>
    <col min="6" max="6" width="19.5703125" customWidth="1"/>
    <col min="7" max="7" width="14" customWidth="1"/>
    <col min="8" max="8" width="18.5703125" customWidth="1"/>
    <col min="9" max="9" width="15.42578125" customWidth="1"/>
    <col min="10" max="10" width="12.140625" customWidth="1"/>
    <col min="11" max="11" width="20" customWidth="1"/>
    <col min="12" max="12" width="22.140625" customWidth="1"/>
    <col min="13" max="13" width="16.85546875" customWidth="1"/>
    <col min="14" max="14" width="13.140625" customWidth="1"/>
  </cols>
  <sheetData>
    <row r="1" spans="1:14" s="24" customFormat="1" ht="31.5" x14ac:dyDescent="0.25">
      <c r="A1" s="14" t="s">
        <v>0</v>
      </c>
      <c r="B1" s="15" t="s">
        <v>1</v>
      </c>
      <c r="C1" s="15" t="s">
        <v>2</v>
      </c>
      <c r="D1" s="16" t="s">
        <v>3</v>
      </c>
      <c r="E1" s="17" t="s">
        <v>4</v>
      </c>
      <c r="F1" s="18" t="s">
        <v>5</v>
      </c>
      <c r="G1" s="19" t="s">
        <v>6</v>
      </c>
      <c r="H1" s="19" t="s">
        <v>7</v>
      </c>
      <c r="I1" s="18" t="s">
        <v>8</v>
      </c>
      <c r="J1" s="18" t="s">
        <v>9</v>
      </c>
      <c r="K1" s="20" t="s">
        <v>10</v>
      </c>
      <c r="L1" s="21" t="s">
        <v>11</v>
      </c>
      <c r="M1" s="22" t="s">
        <v>12</v>
      </c>
      <c r="N1" s="23" t="s">
        <v>13</v>
      </c>
    </row>
    <row r="2" spans="1:14" ht="18.75" x14ac:dyDescent="0.3">
      <c r="A2" s="1">
        <v>20</v>
      </c>
      <c r="B2" s="2" t="s">
        <v>14</v>
      </c>
      <c r="C2" s="3" t="s">
        <v>15</v>
      </c>
      <c r="D2" s="4">
        <v>42982</v>
      </c>
      <c r="E2" s="5">
        <v>43312</v>
      </c>
      <c r="F2" s="6">
        <v>1050</v>
      </c>
      <c r="G2" s="7">
        <v>11</v>
      </c>
      <c r="H2" s="7">
        <v>27</v>
      </c>
      <c r="I2" s="8">
        <v>962.5</v>
      </c>
      <c r="J2" s="8">
        <v>114.29608127721335</v>
      </c>
      <c r="K2" s="9">
        <v>1076.7960812772133</v>
      </c>
      <c r="L2" s="10">
        <v>8</v>
      </c>
      <c r="M2" s="11">
        <v>406.38606676342522</v>
      </c>
      <c r="N2" s="12">
        <v>1483.1821480406384</v>
      </c>
    </row>
    <row r="3" spans="1:14" ht="18.75" x14ac:dyDescent="0.3">
      <c r="A3" s="1">
        <v>21</v>
      </c>
      <c r="B3" s="2" t="s">
        <v>16</v>
      </c>
      <c r="C3" s="3" t="s">
        <v>17</v>
      </c>
      <c r="D3" s="4">
        <v>42814</v>
      </c>
      <c r="E3" s="5">
        <v>43248</v>
      </c>
      <c r="F3" s="6">
        <v>750</v>
      </c>
      <c r="G3" s="7">
        <v>14</v>
      </c>
      <c r="H3" s="7">
        <v>9</v>
      </c>
      <c r="I3" s="8">
        <v>875</v>
      </c>
      <c r="J3" s="8">
        <v>27.213352685050797</v>
      </c>
      <c r="K3" s="9">
        <v>902.21335268505084</v>
      </c>
      <c r="L3" s="10">
        <v>17</v>
      </c>
      <c r="M3" s="11">
        <v>616.83599419448467</v>
      </c>
      <c r="N3" s="12">
        <v>1519.0493468795355</v>
      </c>
    </row>
    <row r="4" spans="1:14" ht="18.75" x14ac:dyDescent="0.3">
      <c r="A4" s="1">
        <v>19</v>
      </c>
      <c r="B4" s="2" t="s">
        <v>18</v>
      </c>
      <c r="C4" s="3" t="s">
        <v>19</v>
      </c>
      <c r="D4" s="4">
        <v>43024</v>
      </c>
      <c r="E4" s="5">
        <v>43251</v>
      </c>
      <c r="F4" s="6">
        <v>450</v>
      </c>
      <c r="G4" s="7">
        <v>7</v>
      </c>
      <c r="H4" s="7">
        <v>15</v>
      </c>
      <c r="I4" s="8">
        <f t="shared" ref="I4" si="0">F4/12*G4</f>
        <v>262.5</v>
      </c>
      <c r="J4" s="8">
        <f t="shared" ref="J4" si="1">F4/12/20.67*H4</f>
        <v>27.213352685050793</v>
      </c>
      <c r="K4" s="9">
        <f t="shared" ref="K4" si="2">I4+J4</f>
        <v>289.71335268505078</v>
      </c>
      <c r="L4" s="10">
        <v>7</v>
      </c>
      <c r="M4" s="11">
        <f t="shared" ref="M4" si="3">(F4/20.67)*L4</f>
        <v>152.39477503628447</v>
      </c>
      <c r="N4" s="12">
        <f t="shared" ref="N4" si="4">SUM(K4+M4)</f>
        <v>442.10812772133522</v>
      </c>
    </row>
    <row r="5" spans="1:14" x14ac:dyDescent="0.25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</row>
    <row r="6" spans="1:14" x14ac:dyDescent="0.25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</row>
    <row r="7" spans="1:14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</row>
    <row r="8" spans="1:14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19977-D64B-4151-A174-3DDADB26C290}">
  <dimension ref="A1:Q11"/>
  <sheetViews>
    <sheetView topLeftCell="C1" workbookViewId="0">
      <selection activeCell="A4" sqref="A4:XFD4"/>
    </sheetView>
  </sheetViews>
  <sheetFormatPr defaultRowHeight="15" x14ac:dyDescent="0.25"/>
  <cols>
    <col min="2" max="2" width="29.7109375" customWidth="1"/>
    <col min="3" max="3" width="27.85546875" customWidth="1"/>
    <col min="4" max="4" width="17.7109375" customWidth="1"/>
    <col min="5" max="5" width="12.7109375" customWidth="1"/>
    <col min="6" max="6" width="12.140625" customWidth="1"/>
    <col min="9" max="9" width="15.42578125" customWidth="1"/>
    <col min="10" max="10" width="14.85546875" customWidth="1"/>
    <col min="11" max="11" width="12.85546875" customWidth="1"/>
    <col min="12" max="12" width="18.7109375" customWidth="1"/>
    <col min="13" max="13" width="18.140625" customWidth="1"/>
    <col min="14" max="14" width="13" customWidth="1"/>
    <col min="15" max="15" width="13.7109375" customWidth="1"/>
  </cols>
  <sheetData>
    <row r="1" spans="1:17" x14ac:dyDescent="0.25">
      <c r="A1" s="13" t="s">
        <v>20</v>
      </c>
      <c r="B1" s="13"/>
    </row>
    <row r="2" spans="1:17" x14ac:dyDescent="0.25">
      <c r="A2" s="25" t="s">
        <v>21</v>
      </c>
      <c r="B2" s="13"/>
    </row>
    <row r="3" spans="1:17" x14ac:dyDescent="0.25">
      <c r="A3" s="13" t="s">
        <v>22</v>
      </c>
      <c r="B3" s="13"/>
    </row>
    <row r="4" spans="1:17" x14ac:dyDescent="0.25">
      <c r="A4" s="13" t="s">
        <v>50</v>
      </c>
      <c r="B4" s="13"/>
    </row>
    <row r="5" spans="1:17" x14ac:dyDescent="0.25">
      <c r="A5" s="25" t="s">
        <v>23</v>
      </c>
      <c r="B5" s="13"/>
    </row>
    <row r="7" spans="1:17" s="24" customFormat="1" ht="78.75" x14ac:dyDescent="0.25">
      <c r="A7" s="14" t="s">
        <v>0</v>
      </c>
      <c r="B7" s="15" t="s">
        <v>1</v>
      </c>
      <c r="C7" s="15" t="s">
        <v>2</v>
      </c>
      <c r="D7" s="16" t="s">
        <v>3</v>
      </c>
      <c r="E7" s="17" t="s">
        <v>4</v>
      </c>
      <c r="F7" s="18" t="s">
        <v>5</v>
      </c>
      <c r="G7" s="19" t="s">
        <v>6</v>
      </c>
      <c r="H7" s="19" t="s">
        <v>7</v>
      </c>
      <c r="I7" s="18" t="s">
        <v>8</v>
      </c>
      <c r="J7" s="18" t="s">
        <v>9</v>
      </c>
      <c r="K7" s="20" t="s">
        <v>10</v>
      </c>
      <c r="L7" s="21" t="s">
        <v>11</v>
      </c>
      <c r="M7" s="22" t="s">
        <v>12</v>
      </c>
      <c r="N7" s="23" t="s">
        <v>13</v>
      </c>
      <c r="O7" s="26" t="s">
        <v>24</v>
      </c>
      <c r="P7" s="26" t="s">
        <v>25</v>
      </c>
      <c r="Q7" s="26" t="s">
        <v>26</v>
      </c>
    </row>
    <row r="8" spans="1:17" ht="18.75" x14ac:dyDescent="0.3">
      <c r="A8" s="1">
        <v>20</v>
      </c>
      <c r="B8" s="2" t="s">
        <v>14</v>
      </c>
      <c r="C8" s="3" t="s">
        <v>15</v>
      </c>
      <c r="D8" s="4">
        <v>42982</v>
      </c>
      <c r="E8" s="5">
        <v>43312</v>
      </c>
      <c r="F8" s="6">
        <v>1050</v>
      </c>
      <c r="G8" s="7">
        <v>11</v>
      </c>
      <c r="H8" s="7">
        <v>27</v>
      </c>
      <c r="I8" s="8">
        <v>962.5</v>
      </c>
      <c r="J8" s="8">
        <v>114.29608127721335</v>
      </c>
      <c r="K8" s="9">
        <v>1076.7960812772133</v>
      </c>
      <c r="L8" s="10">
        <v>8</v>
      </c>
      <c r="M8" s="28">
        <v>406.38606676342522</v>
      </c>
      <c r="N8" s="12">
        <v>1483.1821480406384</v>
      </c>
      <c r="O8" s="27">
        <f>13%*N8</f>
        <v>192.813679245283</v>
      </c>
      <c r="P8" s="27">
        <f>17.5%*O8</f>
        <v>33.74239386792452</v>
      </c>
      <c r="Q8" s="27">
        <f>O8+P8</f>
        <v>226.5560731132075</v>
      </c>
    </row>
    <row r="9" spans="1:17" ht="18.75" x14ac:dyDescent="0.3">
      <c r="A9" s="1">
        <v>21</v>
      </c>
      <c r="B9" s="2" t="s">
        <v>16</v>
      </c>
      <c r="C9" s="3" t="s">
        <v>17</v>
      </c>
      <c r="D9" s="4">
        <v>42814</v>
      </c>
      <c r="E9" s="5">
        <v>43248</v>
      </c>
      <c r="F9" s="6">
        <v>750</v>
      </c>
      <c r="G9" s="7">
        <v>14</v>
      </c>
      <c r="H9" s="7">
        <v>9</v>
      </c>
      <c r="I9" s="8">
        <v>875</v>
      </c>
      <c r="J9" s="8">
        <v>27.213352685050797</v>
      </c>
      <c r="K9" s="9">
        <v>902.21335268505084</v>
      </c>
      <c r="L9" s="10">
        <v>17</v>
      </c>
      <c r="M9" s="28">
        <v>616.83599419448467</v>
      </c>
      <c r="N9" s="12">
        <v>1519.0493468795355</v>
      </c>
      <c r="O9" s="27">
        <f t="shared" ref="O9:O10" si="0">13%*N9</f>
        <v>197.47641509433961</v>
      </c>
      <c r="P9" s="27">
        <f t="shared" ref="P9:P10" si="1">17.5%*O9</f>
        <v>34.558372641509429</v>
      </c>
      <c r="Q9" s="27">
        <f t="shared" ref="Q9:Q10" si="2">O9+P9</f>
        <v>232.03478773584905</v>
      </c>
    </row>
    <row r="10" spans="1:17" ht="18.75" x14ac:dyDescent="0.3">
      <c r="A10" s="1">
        <v>19</v>
      </c>
      <c r="B10" s="2" t="s">
        <v>18</v>
      </c>
      <c r="C10" s="3" t="s">
        <v>19</v>
      </c>
      <c r="D10" s="4">
        <v>43024</v>
      </c>
      <c r="E10" s="5">
        <v>43251</v>
      </c>
      <c r="F10" s="6">
        <v>450</v>
      </c>
      <c r="G10" s="7">
        <v>7</v>
      </c>
      <c r="H10" s="7">
        <v>15</v>
      </c>
      <c r="I10" s="8">
        <f t="shared" ref="I10" si="3">F10/12*G10</f>
        <v>262.5</v>
      </c>
      <c r="J10" s="8">
        <f t="shared" ref="J10" si="4">F10/12/20.67*H10</f>
        <v>27.213352685050793</v>
      </c>
      <c r="K10" s="9">
        <f t="shared" ref="K10" si="5">I10+J10</f>
        <v>289.71335268505078</v>
      </c>
      <c r="L10" s="10">
        <v>7</v>
      </c>
      <c r="M10" s="28">
        <f t="shared" ref="M10" si="6">(F10/20.67)*L10</f>
        <v>152.39477503628447</v>
      </c>
      <c r="N10" s="12">
        <f t="shared" ref="N10" si="7">SUM(K10+M10)</f>
        <v>442.10812772133522</v>
      </c>
      <c r="O10" s="27">
        <f t="shared" si="0"/>
        <v>57.474056603773583</v>
      </c>
      <c r="P10" s="27">
        <f t="shared" si="1"/>
        <v>10.057959905660377</v>
      </c>
      <c r="Q10" s="27">
        <f t="shared" si="2"/>
        <v>67.532016509433959</v>
      </c>
    </row>
    <row r="11" spans="1:17" ht="18.75" x14ac:dyDescent="0.3">
      <c r="N11" s="29">
        <f>SUM(N8:N10)</f>
        <v>3444.3396226415089</v>
      </c>
      <c r="O11" s="29">
        <f>SUM(O8:O10)</f>
        <v>447.7641509433962</v>
      </c>
      <c r="P11" s="29">
        <f>SUM(P8:P10)</f>
        <v>78.358726415094324</v>
      </c>
      <c r="Q11" s="29">
        <f>SUM(Q8:Q10)</f>
        <v>526.12287735849054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C4BBA-23B3-448E-8255-97FA0CD7C08C}">
  <dimension ref="A1:J41"/>
  <sheetViews>
    <sheetView topLeftCell="A16" workbookViewId="0">
      <selection activeCell="L15" sqref="L15"/>
    </sheetView>
  </sheetViews>
  <sheetFormatPr defaultRowHeight="15" x14ac:dyDescent="0.25"/>
  <cols>
    <col min="1" max="1" width="9.140625" style="31"/>
    <col min="2" max="2" width="14.42578125" style="31" customWidth="1"/>
    <col min="3" max="4" width="9.140625" style="31"/>
    <col min="5" max="5" width="9" style="31" bestFit="1" customWidth="1"/>
    <col min="6" max="10" width="9.140625" style="31"/>
  </cols>
  <sheetData>
    <row r="1" spans="1:9" x14ac:dyDescent="0.25">
      <c r="A1" s="30"/>
      <c r="B1" s="30"/>
      <c r="C1" s="30"/>
      <c r="D1" s="30"/>
      <c r="E1" s="30"/>
      <c r="F1" s="30"/>
      <c r="G1" s="30"/>
      <c r="H1" s="30"/>
      <c r="I1" s="30"/>
    </row>
    <row r="2" spans="1:9" x14ac:dyDescent="0.25">
      <c r="A2" s="30"/>
      <c r="B2" s="30"/>
      <c r="C2" s="30"/>
      <c r="D2" s="30"/>
      <c r="E2" s="30"/>
      <c r="F2" s="30"/>
      <c r="G2" s="30"/>
      <c r="H2" s="30"/>
      <c r="I2" s="30"/>
    </row>
    <row r="3" spans="1:9" x14ac:dyDescent="0.25">
      <c r="A3" s="30"/>
      <c r="B3" s="30"/>
      <c r="C3" s="30"/>
      <c r="D3" s="30"/>
      <c r="E3" s="30"/>
      <c r="F3" s="30"/>
      <c r="G3" s="30"/>
      <c r="H3" s="30"/>
      <c r="I3" s="30"/>
    </row>
    <row r="4" spans="1:9" x14ac:dyDescent="0.25">
      <c r="A4" s="30"/>
      <c r="B4" s="30"/>
      <c r="C4" s="30"/>
      <c r="D4" s="30"/>
      <c r="E4" s="30"/>
      <c r="F4" s="30"/>
      <c r="G4" s="30"/>
      <c r="H4" s="30"/>
      <c r="I4" s="30"/>
    </row>
    <row r="5" spans="1:9" x14ac:dyDescent="0.25">
      <c r="A5" s="30"/>
      <c r="B5" s="30"/>
      <c r="C5" s="30"/>
      <c r="D5" s="30"/>
      <c r="E5" s="30"/>
      <c r="F5" s="30"/>
      <c r="G5" s="30"/>
      <c r="H5" s="30"/>
      <c r="I5" s="30"/>
    </row>
    <row r="6" spans="1:9" x14ac:dyDescent="0.25">
      <c r="A6" s="30"/>
      <c r="B6" s="30"/>
      <c r="C6" s="30"/>
      <c r="D6" s="30"/>
      <c r="E6" s="30"/>
      <c r="F6" s="30"/>
      <c r="G6" s="30"/>
      <c r="H6" s="30"/>
      <c r="I6" s="30"/>
    </row>
    <row r="7" spans="1:9" x14ac:dyDescent="0.25">
      <c r="A7" s="30"/>
      <c r="B7" s="30"/>
      <c r="C7" s="30"/>
      <c r="D7" s="30"/>
      <c r="E7" s="30"/>
      <c r="F7" s="30"/>
      <c r="G7" s="30"/>
      <c r="H7" s="30"/>
      <c r="I7" s="30"/>
    </row>
    <row r="8" spans="1:9" x14ac:dyDescent="0.25">
      <c r="A8" s="30"/>
      <c r="B8" s="30"/>
      <c r="C8" s="30"/>
      <c r="D8" s="30"/>
      <c r="E8" s="30"/>
      <c r="F8" s="30"/>
      <c r="G8" s="30"/>
      <c r="H8" s="30"/>
      <c r="I8" s="30"/>
    </row>
    <row r="9" spans="1:9" ht="18.75" x14ac:dyDescent="0.3">
      <c r="A9" s="30"/>
      <c r="B9" s="32" t="s">
        <v>27</v>
      </c>
      <c r="C9" s="32"/>
      <c r="D9" s="32"/>
      <c r="E9" s="32"/>
      <c r="F9" s="32"/>
      <c r="G9" s="30"/>
      <c r="H9" s="30"/>
      <c r="I9" s="30"/>
    </row>
    <row r="10" spans="1:9" x14ac:dyDescent="0.25">
      <c r="A10" s="30"/>
      <c r="B10" s="30"/>
      <c r="C10" s="30"/>
      <c r="D10" s="30"/>
      <c r="E10" s="30"/>
      <c r="F10" s="30"/>
      <c r="G10" s="30"/>
      <c r="H10" s="30"/>
      <c r="I10" s="30"/>
    </row>
    <row r="12" spans="1:9" x14ac:dyDescent="0.25">
      <c r="A12" s="33" t="s">
        <v>43</v>
      </c>
      <c r="B12" s="34"/>
      <c r="F12" s="33"/>
      <c r="G12" s="33" t="s">
        <v>44</v>
      </c>
      <c r="H12" s="33"/>
      <c r="I12" s="33"/>
    </row>
    <row r="13" spans="1:9" x14ac:dyDescent="0.25">
      <c r="A13" s="33" t="s">
        <v>45</v>
      </c>
      <c r="G13" s="33" t="s">
        <v>29</v>
      </c>
      <c r="H13" s="33"/>
    </row>
    <row r="14" spans="1:9" x14ac:dyDescent="0.25">
      <c r="A14" s="35" t="s">
        <v>30</v>
      </c>
      <c r="B14" s="36"/>
      <c r="C14" s="36"/>
      <c r="D14" s="30"/>
      <c r="E14" s="30"/>
      <c r="G14" s="33"/>
      <c r="H14" s="33"/>
    </row>
    <row r="15" spans="1:9" s="129" customFormat="1" x14ac:dyDescent="0.25">
      <c r="A15" s="128" t="s">
        <v>50</v>
      </c>
      <c r="B15" s="128"/>
    </row>
    <row r="16" spans="1:9" x14ac:dyDescent="0.25">
      <c r="A16" s="33"/>
    </row>
    <row r="17" spans="1:9" x14ac:dyDescent="0.25">
      <c r="A17" s="37"/>
      <c r="B17" s="38"/>
      <c r="C17" s="38"/>
      <c r="D17" s="38"/>
      <c r="E17" s="38"/>
      <c r="F17" s="38"/>
      <c r="G17" s="38"/>
      <c r="H17" s="38"/>
      <c r="I17" s="39"/>
    </row>
    <row r="18" spans="1:9" ht="15.75" x14ac:dyDescent="0.25">
      <c r="A18" s="40" t="s">
        <v>31</v>
      </c>
      <c r="B18" s="41"/>
      <c r="C18" s="42" t="s">
        <v>32</v>
      </c>
      <c r="D18" s="43"/>
      <c r="E18" s="42" t="s">
        <v>33</v>
      </c>
      <c r="F18" s="43"/>
      <c r="G18" s="42" t="s">
        <v>34</v>
      </c>
      <c r="H18" s="44"/>
      <c r="I18" s="39"/>
    </row>
    <row r="19" spans="1:9" x14ac:dyDescent="0.25">
      <c r="A19" s="45" t="s">
        <v>35</v>
      </c>
      <c r="B19" s="46"/>
      <c r="C19" s="37"/>
      <c r="D19" s="47"/>
      <c r="E19" s="48"/>
      <c r="F19" s="49"/>
      <c r="G19" s="50">
        <f>E19</f>
        <v>0</v>
      </c>
      <c r="H19" s="38"/>
      <c r="I19" s="39"/>
    </row>
    <row r="20" spans="1:9" x14ac:dyDescent="0.25">
      <c r="A20" s="51"/>
      <c r="B20" s="52"/>
      <c r="C20" s="37"/>
      <c r="D20" s="47"/>
      <c r="E20" s="37"/>
      <c r="F20" s="47"/>
      <c r="G20" s="37"/>
      <c r="H20" s="38"/>
      <c r="I20" s="39"/>
    </row>
    <row r="21" spans="1:9" x14ac:dyDescent="0.25">
      <c r="A21" s="53" t="s">
        <v>36</v>
      </c>
      <c r="B21" s="54"/>
      <c r="C21" s="55">
        <v>0.13</v>
      </c>
      <c r="D21" s="47"/>
      <c r="E21" s="56">
        <f>charges!N11</f>
        <v>3444.3396226415089</v>
      </c>
      <c r="G21" s="50">
        <f>E21*13%</f>
        <v>447.76415094339615</v>
      </c>
      <c r="H21" s="38"/>
      <c r="I21" s="39"/>
    </row>
    <row r="22" spans="1:9" x14ac:dyDescent="0.25">
      <c r="A22" s="57"/>
      <c r="B22" s="58"/>
      <c r="C22" s="59"/>
      <c r="D22" s="49"/>
      <c r="E22" s="59"/>
      <c r="F22" s="49"/>
      <c r="G22" s="50">
        <f>E22*10%</f>
        <v>0</v>
      </c>
      <c r="H22" s="38"/>
      <c r="I22" s="39"/>
    </row>
    <row r="23" spans="1:9" x14ac:dyDescent="0.25">
      <c r="A23" s="60"/>
      <c r="B23" s="61"/>
      <c r="C23" s="62"/>
      <c r="D23" s="62"/>
      <c r="E23" s="59"/>
      <c r="F23" s="49"/>
      <c r="G23" s="50"/>
      <c r="H23" s="63"/>
      <c r="I23" s="39"/>
    </row>
    <row r="24" spans="1:9" x14ac:dyDescent="0.25">
      <c r="A24" s="64"/>
      <c r="B24" s="65"/>
      <c r="C24" s="66"/>
      <c r="D24" s="67"/>
      <c r="E24" s="59"/>
      <c r="F24" s="49"/>
      <c r="G24" s="50"/>
      <c r="H24" s="38"/>
      <c r="I24" s="39"/>
    </row>
    <row r="25" spans="1:9" x14ac:dyDescent="0.25">
      <c r="A25" s="68"/>
      <c r="B25" s="69"/>
      <c r="C25" s="70"/>
      <c r="D25" s="71"/>
      <c r="E25" s="72"/>
      <c r="F25" s="73"/>
      <c r="G25" s="74"/>
      <c r="H25" s="75"/>
      <c r="I25" s="39"/>
    </row>
    <row r="26" spans="1:9" x14ac:dyDescent="0.25">
      <c r="A26" s="33"/>
      <c r="E26" s="76"/>
      <c r="F26" s="76"/>
      <c r="I26" s="39"/>
    </row>
    <row r="27" spans="1:9" x14ac:dyDescent="0.25">
      <c r="A27" s="77"/>
      <c r="B27" s="54"/>
      <c r="C27" s="55"/>
      <c r="D27" s="78"/>
      <c r="E27" s="79"/>
      <c r="F27" s="80"/>
      <c r="G27" s="50"/>
      <c r="H27" s="47"/>
      <c r="I27" s="39"/>
    </row>
    <row r="28" spans="1:9" x14ac:dyDescent="0.25">
      <c r="A28" s="57"/>
      <c r="B28" s="58"/>
      <c r="C28" s="81"/>
      <c r="D28" s="82"/>
      <c r="E28" s="59"/>
      <c r="F28" s="49"/>
      <c r="G28" s="50"/>
      <c r="H28" s="47"/>
      <c r="I28" s="39"/>
    </row>
    <row r="29" spans="1:9" x14ac:dyDescent="0.25">
      <c r="A29" s="64"/>
      <c r="B29" s="65"/>
      <c r="C29" s="55"/>
      <c r="D29" s="47"/>
      <c r="E29" s="59"/>
      <c r="F29" s="49"/>
      <c r="G29" s="50"/>
      <c r="H29" s="47"/>
      <c r="I29" s="39"/>
    </row>
    <row r="30" spans="1:9" x14ac:dyDescent="0.25">
      <c r="A30" s="83"/>
      <c r="B30" s="84"/>
      <c r="C30" s="81"/>
      <c r="D30" s="82"/>
      <c r="E30" s="85"/>
      <c r="F30" s="86"/>
      <c r="G30" s="50"/>
      <c r="H30" s="63"/>
      <c r="I30" s="39"/>
    </row>
    <row r="31" spans="1:9" x14ac:dyDescent="0.25">
      <c r="A31" s="87" t="s">
        <v>37</v>
      </c>
      <c r="B31" s="88"/>
      <c r="C31" s="37"/>
      <c r="D31" s="47"/>
      <c r="E31" s="37"/>
      <c r="F31" s="47"/>
      <c r="G31" s="89">
        <f>G21+G27</f>
        <v>447.76415094339615</v>
      </c>
      <c r="H31" s="90"/>
      <c r="I31" s="39"/>
    </row>
    <row r="32" spans="1:9" x14ac:dyDescent="0.25">
      <c r="A32" s="83" t="s">
        <v>38</v>
      </c>
      <c r="B32" s="84"/>
      <c r="C32" s="37"/>
      <c r="D32" s="47"/>
      <c r="E32" s="91"/>
      <c r="F32" s="92"/>
      <c r="G32" s="50">
        <f>charges!P11</f>
        <v>78.358726415094324</v>
      </c>
      <c r="H32" s="38"/>
      <c r="I32" s="39"/>
    </row>
    <row r="33" spans="1:9" x14ac:dyDescent="0.25">
      <c r="A33" s="37"/>
      <c r="B33" s="47"/>
      <c r="C33" s="93"/>
      <c r="D33" s="37"/>
      <c r="E33" s="91"/>
      <c r="F33" s="92"/>
      <c r="G33" s="94"/>
      <c r="H33" s="38"/>
      <c r="I33" s="39"/>
    </row>
    <row r="34" spans="1:9" x14ac:dyDescent="0.25">
      <c r="A34" s="95"/>
      <c r="B34" s="30"/>
      <c r="C34" s="96"/>
      <c r="D34" s="96"/>
      <c r="E34" s="96" t="s">
        <v>39</v>
      </c>
      <c r="F34" s="96"/>
      <c r="G34" s="50">
        <f>G31+G32</f>
        <v>526.12287735849043</v>
      </c>
      <c r="H34" s="38"/>
      <c r="I34" s="39"/>
    </row>
    <row r="35" spans="1:9" x14ac:dyDescent="0.25">
      <c r="A35" s="95"/>
      <c r="B35" s="30"/>
      <c r="C35" s="30"/>
      <c r="D35" s="30"/>
      <c r="E35" s="30"/>
      <c r="F35" s="30"/>
      <c r="G35" s="30"/>
      <c r="H35" s="30"/>
      <c r="I35" s="39"/>
    </row>
    <row r="36" spans="1:9" x14ac:dyDescent="0.25">
      <c r="A36" s="95"/>
      <c r="B36" s="30"/>
      <c r="C36" s="30"/>
      <c r="D36" s="30"/>
      <c r="E36" s="30"/>
      <c r="F36" s="30"/>
      <c r="G36" s="30"/>
      <c r="H36" s="30"/>
      <c r="I36" s="39"/>
    </row>
    <row r="37" spans="1:9" x14ac:dyDescent="0.25">
      <c r="A37" s="95"/>
      <c r="B37" s="30"/>
      <c r="C37" s="30"/>
      <c r="D37" s="30"/>
      <c r="E37" s="30"/>
      <c r="F37" s="30"/>
      <c r="G37" s="30"/>
      <c r="H37" s="30"/>
      <c r="I37" s="39"/>
    </row>
    <row r="38" spans="1:9" x14ac:dyDescent="0.25">
      <c r="A38" s="97" t="s">
        <v>40</v>
      </c>
      <c r="B38" s="36"/>
      <c r="C38" s="36"/>
      <c r="D38" s="36"/>
      <c r="E38" s="36"/>
      <c r="F38" s="36"/>
      <c r="G38" s="36"/>
      <c r="H38" s="36"/>
      <c r="I38" s="39"/>
    </row>
    <row r="39" spans="1:9" x14ac:dyDescent="0.25">
      <c r="A39" s="97" t="s">
        <v>41</v>
      </c>
      <c r="B39" s="36"/>
      <c r="C39" s="36"/>
      <c r="D39" s="36"/>
      <c r="E39" s="36"/>
      <c r="F39" s="36"/>
      <c r="G39" s="36"/>
      <c r="H39" s="36"/>
      <c r="I39" s="39"/>
    </row>
    <row r="40" spans="1:9" x14ac:dyDescent="0.25">
      <c r="A40" s="95"/>
      <c r="B40" s="30"/>
      <c r="C40" s="30"/>
      <c r="D40" s="30"/>
      <c r="E40" s="30"/>
      <c r="F40" s="30"/>
      <c r="G40" s="30"/>
      <c r="H40" s="30"/>
      <c r="I40" s="39"/>
    </row>
    <row r="41" spans="1:9" x14ac:dyDescent="0.25">
      <c r="A41" s="98" t="s">
        <v>42</v>
      </c>
      <c r="B41" s="99"/>
      <c r="C41" s="99"/>
      <c r="D41" s="99"/>
      <c r="E41" s="99"/>
      <c r="F41" s="99"/>
      <c r="G41" s="99"/>
      <c r="H41" s="100"/>
      <c r="I41" s="39"/>
    </row>
  </sheetData>
  <mergeCells count="64">
    <mergeCell ref="C34:D34"/>
    <mergeCell ref="E34:F34"/>
    <mergeCell ref="G34:H34"/>
    <mergeCell ref="A41:H41"/>
    <mergeCell ref="A32:B32"/>
    <mergeCell ref="C32:D32"/>
    <mergeCell ref="E32:F32"/>
    <mergeCell ref="G32:H32"/>
    <mergeCell ref="A33:B33"/>
    <mergeCell ref="C33:D33"/>
    <mergeCell ref="E33:F33"/>
    <mergeCell ref="G33:H33"/>
    <mergeCell ref="A30:B30"/>
    <mergeCell ref="G30:H30"/>
    <mergeCell ref="A31:B31"/>
    <mergeCell ref="C31:D31"/>
    <mergeCell ref="E31:F31"/>
    <mergeCell ref="G31:H31"/>
    <mergeCell ref="A28:B28"/>
    <mergeCell ref="E28:F28"/>
    <mergeCell ref="G28:H28"/>
    <mergeCell ref="A29:B29"/>
    <mergeCell ref="C29:D29"/>
    <mergeCell ref="E29:F29"/>
    <mergeCell ref="G29:H29"/>
    <mergeCell ref="A25:B25"/>
    <mergeCell ref="C25:D25"/>
    <mergeCell ref="G25:H25"/>
    <mergeCell ref="E26:F26"/>
    <mergeCell ref="A27:B27"/>
    <mergeCell ref="C27:D27"/>
    <mergeCell ref="E27:F27"/>
    <mergeCell ref="G27:H27"/>
    <mergeCell ref="A23:B23"/>
    <mergeCell ref="C23:D23"/>
    <mergeCell ref="E23:F23"/>
    <mergeCell ref="G23:H23"/>
    <mergeCell ref="A24:B24"/>
    <mergeCell ref="C24:D24"/>
    <mergeCell ref="E24:F24"/>
    <mergeCell ref="G24:H24"/>
    <mergeCell ref="A21:B22"/>
    <mergeCell ref="C21:D21"/>
    <mergeCell ref="G21:H21"/>
    <mergeCell ref="C22:D22"/>
    <mergeCell ref="E22:F22"/>
    <mergeCell ref="G22:H22"/>
    <mergeCell ref="A19:B19"/>
    <mergeCell ref="C19:D19"/>
    <mergeCell ref="E19:F19"/>
    <mergeCell ref="G19:H19"/>
    <mergeCell ref="A20:B20"/>
    <mergeCell ref="C20:D20"/>
    <mergeCell ref="E20:F20"/>
    <mergeCell ref="G20:H20"/>
    <mergeCell ref="B9:F9"/>
    <mergeCell ref="A17:B17"/>
    <mergeCell ref="C17:D17"/>
    <mergeCell ref="E17:F17"/>
    <mergeCell ref="G17:H17"/>
    <mergeCell ref="A18:B18"/>
    <mergeCell ref="C18:D18"/>
    <mergeCell ref="E18:F18"/>
    <mergeCell ref="G18:H1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B0653-DF6C-4355-BC35-FD401A1166C2}">
  <dimension ref="A1:O12"/>
  <sheetViews>
    <sheetView topLeftCell="C1" workbookViewId="0">
      <selection activeCell="C19" sqref="C19"/>
    </sheetView>
  </sheetViews>
  <sheetFormatPr defaultRowHeight="15" x14ac:dyDescent="0.25"/>
  <cols>
    <col min="2" max="2" width="27.140625" customWidth="1"/>
    <col min="3" max="3" width="30.42578125" customWidth="1"/>
    <col min="4" max="4" width="16.140625" customWidth="1"/>
    <col min="5" max="5" width="15.140625" customWidth="1"/>
    <col min="6" max="6" width="14.140625" customWidth="1"/>
    <col min="9" max="9" width="13.28515625" customWidth="1"/>
    <col min="10" max="10" width="15.140625" customWidth="1"/>
    <col min="11" max="11" width="16.28515625" customWidth="1"/>
    <col min="12" max="12" width="20" customWidth="1"/>
    <col min="13" max="13" width="16" customWidth="1"/>
    <col min="14" max="14" width="15.85546875" customWidth="1"/>
    <col min="15" max="15" width="13" customWidth="1"/>
  </cols>
  <sheetData>
    <row r="1" spans="1:15" x14ac:dyDescent="0.25">
      <c r="A1" s="13" t="s">
        <v>20</v>
      </c>
      <c r="B1" s="13"/>
    </row>
    <row r="2" spans="1:15" x14ac:dyDescent="0.25">
      <c r="A2" s="101" t="s">
        <v>46</v>
      </c>
      <c r="B2" s="13"/>
    </row>
    <row r="3" spans="1:15" x14ac:dyDescent="0.25">
      <c r="A3" s="13" t="s">
        <v>22</v>
      </c>
      <c r="B3" s="13"/>
    </row>
    <row r="4" spans="1:15" x14ac:dyDescent="0.25">
      <c r="A4" s="13" t="s">
        <v>50</v>
      </c>
      <c r="B4" s="13"/>
    </row>
    <row r="5" spans="1:15" x14ac:dyDescent="0.25">
      <c r="A5" s="25" t="s">
        <v>23</v>
      </c>
      <c r="B5" s="13"/>
    </row>
    <row r="8" spans="1:15" s="24" customFormat="1" ht="47.25" x14ac:dyDescent="0.25">
      <c r="A8" s="14" t="s">
        <v>0</v>
      </c>
      <c r="B8" s="15" t="s">
        <v>1</v>
      </c>
      <c r="C8" s="15" t="s">
        <v>2</v>
      </c>
      <c r="D8" s="16" t="s">
        <v>3</v>
      </c>
      <c r="E8" s="17" t="s">
        <v>4</v>
      </c>
      <c r="F8" s="18" t="s">
        <v>5</v>
      </c>
      <c r="G8" s="19" t="s">
        <v>6</v>
      </c>
      <c r="H8" s="19" t="s">
        <v>7</v>
      </c>
      <c r="I8" s="18" t="s">
        <v>8</v>
      </c>
      <c r="J8" s="18" t="s">
        <v>9</v>
      </c>
      <c r="K8" s="20" t="s">
        <v>10</v>
      </c>
      <c r="L8" s="21" t="s">
        <v>11</v>
      </c>
      <c r="M8" s="22" t="s">
        <v>12</v>
      </c>
      <c r="N8" s="23" t="s">
        <v>13</v>
      </c>
      <c r="O8" s="26" t="s">
        <v>26</v>
      </c>
    </row>
    <row r="9" spans="1:15" ht="18.75" x14ac:dyDescent="0.3">
      <c r="A9" s="1">
        <v>20</v>
      </c>
      <c r="B9" s="2" t="s">
        <v>14</v>
      </c>
      <c r="C9" s="3" t="s">
        <v>15</v>
      </c>
      <c r="D9" s="4">
        <v>42982</v>
      </c>
      <c r="E9" s="5">
        <v>43312</v>
      </c>
      <c r="F9" s="6">
        <v>1050</v>
      </c>
      <c r="G9" s="7">
        <v>11</v>
      </c>
      <c r="H9" s="7">
        <v>27</v>
      </c>
      <c r="I9" s="8">
        <v>962.5</v>
      </c>
      <c r="J9" s="8">
        <v>114.29608127721335</v>
      </c>
      <c r="K9" s="9">
        <v>1076.7960812772133</v>
      </c>
      <c r="L9" s="10">
        <v>8</v>
      </c>
      <c r="M9" s="28">
        <v>406.38606676342522</v>
      </c>
      <c r="N9" s="12">
        <v>1483.1821480406384</v>
      </c>
      <c r="O9" s="27">
        <f>N9</f>
        <v>1483.1821480406384</v>
      </c>
    </row>
    <row r="10" spans="1:15" ht="18.75" x14ac:dyDescent="0.3">
      <c r="A10" s="1">
        <v>21</v>
      </c>
      <c r="B10" s="2" t="s">
        <v>16</v>
      </c>
      <c r="C10" s="3" t="s">
        <v>17</v>
      </c>
      <c r="D10" s="4">
        <v>42814</v>
      </c>
      <c r="E10" s="5">
        <v>43248</v>
      </c>
      <c r="F10" s="6">
        <v>750</v>
      </c>
      <c r="G10" s="7">
        <v>14</v>
      </c>
      <c r="H10" s="7">
        <v>9</v>
      </c>
      <c r="I10" s="8">
        <v>875</v>
      </c>
      <c r="J10" s="8">
        <v>27.213352685050797</v>
      </c>
      <c r="K10" s="9">
        <v>902.21335268505084</v>
      </c>
      <c r="L10" s="10">
        <v>17</v>
      </c>
      <c r="M10" s="28">
        <v>616.83599419448467</v>
      </c>
      <c r="N10" s="12">
        <v>1519.0493468795355</v>
      </c>
      <c r="O10" s="27">
        <f t="shared" ref="O10:O11" si="0">N10</f>
        <v>1519.0493468795355</v>
      </c>
    </row>
    <row r="11" spans="1:15" ht="18.75" x14ac:dyDescent="0.3">
      <c r="A11" s="1">
        <v>19</v>
      </c>
      <c r="B11" s="2" t="s">
        <v>18</v>
      </c>
      <c r="C11" s="3" t="s">
        <v>19</v>
      </c>
      <c r="D11" s="4">
        <v>43024</v>
      </c>
      <c r="E11" s="5">
        <v>43251</v>
      </c>
      <c r="F11" s="6">
        <v>450</v>
      </c>
      <c r="G11" s="7">
        <v>7</v>
      </c>
      <c r="H11" s="7">
        <v>15</v>
      </c>
      <c r="I11" s="8">
        <f t="shared" ref="I11" si="1">F11/12*G11</f>
        <v>262.5</v>
      </c>
      <c r="J11" s="8">
        <f t="shared" ref="J11" si="2">F11/12/20.67*H11</f>
        <v>27.213352685050793</v>
      </c>
      <c r="K11" s="9">
        <f t="shared" ref="K11" si="3">I11+J11</f>
        <v>289.71335268505078</v>
      </c>
      <c r="L11" s="10">
        <v>7</v>
      </c>
      <c r="M11" s="28">
        <f t="shared" ref="M11" si="4">(F11/20.67)*L11</f>
        <v>152.39477503628447</v>
      </c>
      <c r="N11" s="12">
        <f t="shared" ref="N11" si="5">SUM(K11+M11)</f>
        <v>442.10812772133522</v>
      </c>
      <c r="O11" s="27">
        <f t="shared" si="0"/>
        <v>442.10812772133522</v>
      </c>
    </row>
    <row r="12" spans="1:15" ht="18.75" x14ac:dyDescent="0.3">
      <c r="N12" s="29">
        <f>SUM(N9:N11)</f>
        <v>3444.3396226415089</v>
      </c>
      <c r="O12" s="29">
        <f>SUM(O9:O11)</f>
        <v>3444.3396226415089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1F09E-4A7B-463A-9F40-8575D2B5D049}">
  <dimension ref="A1:I44"/>
  <sheetViews>
    <sheetView tabSelected="1" workbookViewId="0">
      <selection activeCell="M19" sqref="M19"/>
    </sheetView>
  </sheetViews>
  <sheetFormatPr defaultRowHeight="15" x14ac:dyDescent="0.25"/>
  <cols>
    <col min="1" max="1" width="9.140625" style="31"/>
    <col min="2" max="2" width="28.5703125" style="31" customWidth="1"/>
    <col min="3" max="3" width="7" style="31" customWidth="1"/>
    <col min="4" max="4" width="3.140625" style="31" customWidth="1"/>
    <col min="5" max="5" width="6" style="31" customWidth="1"/>
    <col min="6" max="6" width="10.28515625" style="31" customWidth="1"/>
    <col min="7" max="7" width="9.140625" style="31"/>
    <col min="8" max="8" width="6.5703125" style="31" customWidth="1"/>
    <col min="9" max="9" width="9.140625" style="31"/>
  </cols>
  <sheetData>
    <row r="1" spans="1:9" x14ac:dyDescent="0.25">
      <c r="A1" s="30"/>
      <c r="B1" s="30"/>
      <c r="C1" s="30"/>
      <c r="D1" s="30"/>
      <c r="E1" s="30"/>
      <c r="F1" s="30"/>
      <c r="G1" s="30"/>
      <c r="H1" s="30"/>
      <c r="I1" s="30"/>
    </row>
    <row r="2" spans="1:9" x14ac:dyDescent="0.25">
      <c r="A2" s="30"/>
      <c r="B2" s="30"/>
      <c r="C2" s="30"/>
      <c r="D2" s="30"/>
      <c r="E2" s="30"/>
      <c r="F2" s="30"/>
      <c r="G2" s="30"/>
      <c r="H2" s="30"/>
      <c r="I2" s="30"/>
    </row>
    <row r="3" spans="1:9" x14ac:dyDescent="0.25">
      <c r="A3" s="30"/>
      <c r="B3" s="30"/>
      <c r="C3" s="30"/>
      <c r="D3" s="30"/>
      <c r="E3" s="30"/>
      <c r="F3" s="30"/>
      <c r="G3" s="30"/>
      <c r="H3" s="30"/>
      <c r="I3" s="30"/>
    </row>
    <row r="4" spans="1:9" x14ac:dyDescent="0.25">
      <c r="A4" s="30"/>
      <c r="B4" s="30"/>
      <c r="C4" s="30"/>
      <c r="D4" s="30"/>
      <c r="E4" s="30"/>
      <c r="F4" s="30"/>
      <c r="G4" s="30"/>
      <c r="H4" s="30"/>
      <c r="I4" s="30"/>
    </row>
    <row r="5" spans="1:9" x14ac:dyDescent="0.25">
      <c r="A5" s="30"/>
      <c r="B5" s="30"/>
      <c r="C5" s="30"/>
      <c r="D5" s="30"/>
      <c r="E5" s="30"/>
      <c r="F5" s="30"/>
      <c r="G5" s="30"/>
      <c r="H5" s="30"/>
      <c r="I5" s="30"/>
    </row>
    <row r="6" spans="1:9" x14ac:dyDescent="0.25">
      <c r="A6" s="30"/>
      <c r="B6" s="30"/>
      <c r="C6" s="30"/>
      <c r="D6" s="30"/>
      <c r="E6" s="30"/>
      <c r="F6" s="30"/>
      <c r="G6" s="30"/>
      <c r="H6" s="30"/>
      <c r="I6" s="30"/>
    </row>
    <row r="7" spans="1:9" x14ac:dyDescent="0.25">
      <c r="A7" s="30"/>
      <c r="B7" s="30"/>
      <c r="C7" s="30"/>
      <c r="D7" s="30"/>
      <c r="E7" s="30"/>
      <c r="F7" s="30"/>
      <c r="G7" s="30"/>
      <c r="H7" s="30"/>
      <c r="I7" s="30"/>
    </row>
    <row r="8" spans="1:9" x14ac:dyDescent="0.25">
      <c r="A8" s="30"/>
      <c r="B8" s="30"/>
      <c r="C8" s="30"/>
      <c r="D8" s="30"/>
      <c r="E8" s="30"/>
      <c r="F8" s="30"/>
      <c r="G8" s="30"/>
      <c r="H8" s="30"/>
      <c r="I8" s="30"/>
    </row>
    <row r="9" spans="1:9" ht="18.75" x14ac:dyDescent="0.3">
      <c r="A9" s="30"/>
      <c r="B9" s="32" t="s">
        <v>27</v>
      </c>
      <c r="C9" s="32"/>
      <c r="D9" s="32"/>
      <c r="E9" s="32"/>
      <c r="F9" s="32"/>
      <c r="G9" s="30"/>
      <c r="H9" s="30"/>
      <c r="I9" s="30"/>
    </row>
    <row r="10" spans="1:9" x14ac:dyDescent="0.25">
      <c r="A10" s="30"/>
      <c r="B10" s="30"/>
      <c r="C10" s="30"/>
      <c r="D10" s="30"/>
      <c r="E10" s="30"/>
      <c r="F10" s="30"/>
      <c r="G10" s="30"/>
      <c r="H10" s="30"/>
      <c r="I10" s="30"/>
    </row>
    <row r="11" spans="1:9" x14ac:dyDescent="0.25">
      <c r="A11" s="30"/>
      <c r="B11" s="30"/>
      <c r="C11" s="30"/>
      <c r="D11" s="30"/>
      <c r="E11" s="30"/>
      <c r="F11" s="30"/>
      <c r="G11" s="30"/>
      <c r="H11" s="30"/>
      <c r="I11" s="30"/>
    </row>
    <row r="12" spans="1:9" x14ac:dyDescent="0.25">
      <c r="A12" s="33" t="s">
        <v>28</v>
      </c>
      <c r="B12" s="34"/>
      <c r="E12" s="33"/>
      <c r="F12" s="33" t="s">
        <v>47</v>
      </c>
      <c r="G12" s="33"/>
      <c r="H12" s="36"/>
      <c r="I12" s="36"/>
    </row>
    <row r="13" spans="1:9" x14ac:dyDescent="0.25">
      <c r="A13" s="33" t="s">
        <v>48</v>
      </c>
      <c r="E13" s="33"/>
      <c r="F13" s="33" t="s">
        <v>29</v>
      </c>
      <c r="G13" s="33"/>
      <c r="H13" s="30"/>
      <c r="I13" s="30"/>
    </row>
    <row r="14" spans="1:9" x14ac:dyDescent="0.25">
      <c r="A14" s="36" t="s">
        <v>30</v>
      </c>
      <c r="B14" s="36"/>
      <c r="C14" s="36"/>
      <c r="D14" s="30"/>
      <c r="E14" s="30"/>
      <c r="G14" s="33"/>
      <c r="H14" s="36"/>
      <c r="I14" s="30"/>
    </row>
    <row r="15" spans="1:9" s="129" customFormat="1" x14ac:dyDescent="0.25">
      <c r="A15" s="128" t="s">
        <v>50</v>
      </c>
      <c r="B15" s="128"/>
    </row>
    <row r="16" spans="1:9" x14ac:dyDescent="0.25">
      <c r="A16" s="30"/>
      <c r="B16" s="30"/>
      <c r="C16" s="30"/>
      <c r="D16" s="30"/>
      <c r="E16" s="30"/>
      <c r="F16" s="30"/>
      <c r="G16" s="30"/>
      <c r="H16" s="30"/>
      <c r="I16" s="30"/>
    </row>
    <row r="17" spans="1:9" x14ac:dyDescent="0.25">
      <c r="A17" s="37"/>
      <c r="B17" s="38"/>
      <c r="C17" s="38"/>
      <c r="D17" s="38"/>
      <c r="E17" s="38"/>
      <c r="F17" s="38"/>
      <c r="G17" s="38"/>
      <c r="H17" s="47"/>
      <c r="I17" s="102"/>
    </row>
    <row r="18" spans="1:9" ht="15.75" x14ac:dyDescent="0.25">
      <c r="A18" s="40" t="s">
        <v>31</v>
      </c>
      <c r="B18" s="41"/>
      <c r="C18" s="42" t="s">
        <v>32</v>
      </c>
      <c r="D18" s="43"/>
      <c r="E18" s="42" t="s">
        <v>33</v>
      </c>
      <c r="F18" s="43"/>
      <c r="G18" s="42" t="s">
        <v>34</v>
      </c>
      <c r="H18" s="44"/>
      <c r="I18" s="102"/>
    </row>
    <row r="19" spans="1:9" x14ac:dyDescent="0.25">
      <c r="A19" s="103" t="s">
        <v>49</v>
      </c>
      <c r="B19" s="61"/>
      <c r="C19" s="37"/>
      <c r="D19" s="47"/>
      <c r="E19" s="48">
        <f>'End of service payments'!O12</f>
        <v>3444.3396226415089</v>
      </c>
      <c r="F19" s="49"/>
      <c r="G19" s="104">
        <f>E19</f>
        <v>3444.3396226415089</v>
      </c>
      <c r="H19" s="84"/>
      <c r="I19" s="102"/>
    </row>
    <row r="20" spans="1:9" x14ac:dyDescent="0.25">
      <c r="A20" s="60"/>
      <c r="B20" s="61"/>
      <c r="C20" s="37"/>
      <c r="D20" s="47"/>
      <c r="E20" s="105"/>
      <c r="F20" s="106"/>
      <c r="G20" s="107"/>
      <c r="H20" s="108"/>
      <c r="I20" s="102"/>
    </row>
    <row r="21" spans="1:9" x14ac:dyDescent="0.25">
      <c r="A21" s="77"/>
      <c r="B21" s="54"/>
      <c r="C21" s="109"/>
      <c r="D21" s="92"/>
      <c r="E21" s="91"/>
      <c r="F21" s="92"/>
      <c r="G21" s="83"/>
      <c r="H21" s="84"/>
      <c r="I21" s="102"/>
    </row>
    <row r="22" spans="1:9" x14ac:dyDescent="0.25">
      <c r="A22" s="57"/>
      <c r="B22" s="58"/>
      <c r="C22" s="38"/>
      <c r="D22" s="47"/>
      <c r="E22" s="50"/>
      <c r="F22" s="47"/>
      <c r="G22" s="104"/>
      <c r="H22" s="84"/>
      <c r="I22" s="102"/>
    </row>
    <row r="23" spans="1:9" x14ac:dyDescent="0.25">
      <c r="A23" s="64"/>
      <c r="B23" s="65"/>
      <c r="C23" s="38"/>
      <c r="D23" s="47"/>
      <c r="E23" s="50"/>
      <c r="F23" s="47"/>
      <c r="G23" s="104"/>
      <c r="H23" s="84"/>
      <c r="I23" s="102"/>
    </row>
    <row r="24" spans="1:9" x14ac:dyDescent="0.25">
      <c r="A24" s="83"/>
      <c r="B24" s="110"/>
      <c r="C24" s="111"/>
      <c r="D24" s="112"/>
      <c r="E24" s="113"/>
      <c r="F24" s="114"/>
      <c r="G24" s="115"/>
      <c r="H24" s="116"/>
      <c r="I24" s="102"/>
    </row>
    <row r="25" spans="1:9" x14ac:dyDescent="0.25">
      <c r="A25" s="95"/>
      <c r="B25" s="30"/>
      <c r="C25" s="117"/>
      <c r="D25" s="117"/>
      <c r="E25" s="118"/>
      <c r="F25" s="30"/>
      <c r="G25" s="119"/>
      <c r="H25" s="108"/>
      <c r="I25" s="102"/>
    </row>
    <row r="26" spans="1:9" x14ac:dyDescent="0.25">
      <c r="A26" s="120"/>
      <c r="B26" s="82"/>
      <c r="C26" s="120"/>
      <c r="D26" s="82"/>
      <c r="E26" s="120"/>
      <c r="F26" s="82"/>
      <c r="G26" s="121"/>
      <c r="H26" s="122"/>
      <c r="I26" s="102"/>
    </row>
    <row r="27" spans="1:9" x14ac:dyDescent="0.25">
      <c r="A27" s="120"/>
      <c r="B27" s="82"/>
      <c r="C27" s="37"/>
      <c r="D27" s="47"/>
      <c r="E27" s="37"/>
      <c r="F27" s="47"/>
      <c r="G27" s="104"/>
      <c r="H27" s="84"/>
      <c r="I27" s="102"/>
    </row>
    <row r="28" spans="1:9" x14ac:dyDescent="0.25">
      <c r="A28" s="120"/>
      <c r="B28" s="82"/>
      <c r="C28" s="37"/>
      <c r="D28" s="47"/>
      <c r="E28" s="37"/>
      <c r="F28" s="47"/>
      <c r="G28" s="83"/>
      <c r="H28" s="84"/>
      <c r="I28" s="102"/>
    </row>
    <row r="29" spans="1:9" x14ac:dyDescent="0.25">
      <c r="A29" s="37"/>
      <c r="B29" s="47"/>
      <c r="C29" s="37"/>
      <c r="D29" s="47"/>
      <c r="E29" s="37"/>
      <c r="F29" s="47"/>
      <c r="G29" s="104"/>
      <c r="H29" s="84"/>
      <c r="I29" s="102"/>
    </row>
    <row r="30" spans="1:9" x14ac:dyDescent="0.25">
      <c r="A30" s="120"/>
      <c r="B30" s="82"/>
      <c r="C30" s="37"/>
      <c r="D30" s="47"/>
      <c r="E30" s="91"/>
      <c r="F30" s="92"/>
      <c r="G30" s="104"/>
      <c r="H30" s="84"/>
      <c r="I30" s="102"/>
    </row>
    <row r="31" spans="1:9" x14ac:dyDescent="0.25">
      <c r="A31" s="37"/>
      <c r="B31" s="47"/>
      <c r="C31" s="93"/>
      <c r="D31" s="37"/>
      <c r="E31" s="93"/>
      <c r="F31" s="93"/>
      <c r="G31" s="104">
        <f>G30*17.5%</f>
        <v>0</v>
      </c>
      <c r="H31" s="123"/>
      <c r="I31" s="102"/>
    </row>
    <row r="32" spans="1:9" x14ac:dyDescent="0.25">
      <c r="A32" s="124"/>
      <c r="B32" s="125"/>
      <c r="C32" s="109"/>
      <c r="D32" s="109"/>
      <c r="E32" s="93" t="s">
        <v>39</v>
      </c>
      <c r="F32" s="93"/>
      <c r="G32" s="104">
        <f>G19+G206+G24+G25</f>
        <v>3444.3396226415089</v>
      </c>
      <c r="H32" s="84"/>
      <c r="I32" s="102"/>
    </row>
    <row r="33" spans="1:9" x14ac:dyDescent="0.25">
      <c r="A33" s="95"/>
      <c r="B33" s="30"/>
      <c r="C33" s="30"/>
      <c r="D33" s="30"/>
      <c r="E33" s="30"/>
      <c r="F33" s="30"/>
      <c r="G33" s="30"/>
      <c r="H33" s="126"/>
      <c r="I33" s="102"/>
    </row>
    <row r="34" spans="1:9" x14ac:dyDescent="0.25">
      <c r="A34" s="95"/>
      <c r="B34" s="30"/>
      <c r="C34" s="30"/>
      <c r="D34" s="30"/>
      <c r="E34" s="30"/>
      <c r="F34" s="30"/>
      <c r="G34" s="30"/>
      <c r="H34" s="126"/>
      <c r="I34" s="102"/>
    </row>
    <row r="35" spans="1:9" x14ac:dyDescent="0.25">
      <c r="A35" s="95"/>
      <c r="B35" s="30"/>
      <c r="C35" s="30"/>
      <c r="D35" s="30"/>
      <c r="E35" s="30"/>
      <c r="F35" s="30"/>
      <c r="G35" s="30"/>
      <c r="H35" s="126"/>
      <c r="I35" s="102"/>
    </row>
    <row r="36" spans="1:9" x14ac:dyDescent="0.25">
      <c r="A36" s="97" t="s">
        <v>40</v>
      </c>
      <c r="B36" s="36"/>
      <c r="C36" s="36"/>
      <c r="D36" s="36"/>
      <c r="E36" s="36"/>
      <c r="F36" s="36"/>
      <c r="G36" s="36"/>
      <c r="H36" s="127"/>
      <c r="I36" s="102"/>
    </row>
    <row r="37" spans="1:9" x14ac:dyDescent="0.25">
      <c r="A37" s="97" t="s">
        <v>41</v>
      </c>
      <c r="B37" s="36"/>
      <c r="C37" s="36"/>
      <c r="D37" s="36"/>
      <c r="E37" s="36"/>
      <c r="F37" s="36"/>
      <c r="G37" s="36"/>
      <c r="H37" s="127"/>
      <c r="I37" s="102"/>
    </row>
    <row r="38" spans="1:9" x14ac:dyDescent="0.25">
      <c r="A38" s="95"/>
      <c r="B38" s="30"/>
      <c r="C38" s="30"/>
      <c r="D38" s="30"/>
      <c r="E38" s="30"/>
      <c r="F38" s="30"/>
      <c r="G38" s="30"/>
      <c r="H38" s="126"/>
      <c r="I38" s="102"/>
    </row>
    <row r="39" spans="1:9" x14ac:dyDescent="0.25">
      <c r="A39" s="98" t="s">
        <v>42</v>
      </c>
      <c r="B39" s="99"/>
      <c r="C39" s="99"/>
      <c r="D39" s="99"/>
      <c r="E39" s="99"/>
      <c r="F39" s="99"/>
      <c r="G39" s="99"/>
      <c r="H39" s="100"/>
      <c r="I39" s="102"/>
    </row>
    <row r="40" spans="1:9" x14ac:dyDescent="0.25">
      <c r="A40" s="30"/>
      <c r="B40" s="30"/>
      <c r="C40" s="30"/>
      <c r="D40" s="30"/>
      <c r="E40" s="30"/>
      <c r="F40" s="30"/>
      <c r="G40" s="30"/>
      <c r="H40" s="30"/>
      <c r="I40" s="30"/>
    </row>
    <row r="41" spans="1:9" x14ac:dyDescent="0.25">
      <c r="A41" s="30"/>
      <c r="B41" s="30"/>
      <c r="C41" s="30"/>
      <c r="D41" s="30"/>
      <c r="E41" s="30"/>
      <c r="F41" s="30"/>
      <c r="G41" s="30"/>
      <c r="H41" s="30"/>
      <c r="I41" s="30"/>
    </row>
    <row r="42" spans="1:9" x14ac:dyDescent="0.25">
      <c r="A42" s="30"/>
      <c r="B42" s="30"/>
      <c r="C42" s="30"/>
      <c r="D42" s="30"/>
      <c r="E42" s="30"/>
      <c r="F42" s="30"/>
      <c r="G42" s="30"/>
      <c r="H42" s="30"/>
      <c r="I42" s="30"/>
    </row>
    <row r="43" spans="1:9" x14ac:dyDescent="0.25">
      <c r="A43" s="30"/>
      <c r="B43" s="30"/>
      <c r="C43" s="30"/>
      <c r="D43" s="30"/>
      <c r="E43" s="30"/>
      <c r="F43" s="30"/>
      <c r="G43" s="30"/>
      <c r="H43" s="30"/>
      <c r="I43" s="30"/>
    </row>
    <row r="44" spans="1:9" x14ac:dyDescent="0.25">
      <c r="A44" s="30"/>
      <c r="B44" s="30"/>
      <c r="C44" s="30"/>
      <c r="D44" s="30"/>
      <c r="E44" s="30"/>
      <c r="F44" s="30"/>
      <c r="G44" s="30"/>
      <c r="H44" s="30"/>
      <c r="I44" s="30"/>
    </row>
  </sheetData>
  <mergeCells count="56">
    <mergeCell ref="A39:H39"/>
    <mergeCell ref="A31:B31"/>
    <mergeCell ref="C31:D31"/>
    <mergeCell ref="E31:F31"/>
    <mergeCell ref="G31:H31"/>
    <mergeCell ref="C32:D32"/>
    <mergeCell ref="E32:F32"/>
    <mergeCell ref="G32:H32"/>
    <mergeCell ref="A29:B29"/>
    <mergeCell ref="C29:D29"/>
    <mergeCell ref="E29:F29"/>
    <mergeCell ref="G29:H29"/>
    <mergeCell ref="C30:D30"/>
    <mergeCell ref="E30:F30"/>
    <mergeCell ref="G30:H30"/>
    <mergeCell ref="C25:D25"/>
    <mergeCell ref="G25:H25"/>
    <mergeCell ref="C27:D27"/>
    <mergeCell ref="E27:F27"/>
    <mergeCell ref="G27:H27"/>
    <mergeCell ref="C28:D28"/>
    <mergeCell ref="E28:F28"/>
    <mergeCell ref="G28:H28"/>
    <mergeCell ref="A23:B23"/>
    <mergeCell ref="C23:D23"/>
    <mergeCell ref="E23:F23"/>
    <mergeCell ref="G23:H23"/>
    <mergeCell ref="A24:B24"/>
    <mergeCell ref="C24:D24"/>
    <mergeCell ref="E24:F24"/>
    <mergeCell ref="G24:H24"/>
    <mergeCell ref="A21:B21"/>
    <mergeCell ref="C21:D21"/>
    <mergeCell ref="E21:F21"/>
    <mergeCell ref="G21:H21"/>
    <mergeCell ref="A22:B22"/>
    <mergeCell ref="C22:D22"/>
    <mergeCell ref="E22:F22"/>
    <mergeCell ref="G22:H22"/>
    <mergeCell ref="A19:B19"/>
    <mergeCell ref="C19:D19"/>
    <mergeCell ref="E19:F19"/>
    <mergeCell ref="G19:H19"/>
    <mergeCell ref="A20:B20"/>
    <mergeCell ref="C20:D20"/>
    <mergeCell ref="E20:F20"/>
    <mergeCell ref="G20:H20"/>
    <mergeCell ref="B9:F9"/>
    <mergeCell ref="A17:B17"/>
    <mergeCell ref="C17:D17"/>
    <mergeCell ref="E17:F17"/>
    <mergeCell ref="G17:H17"/>
    <mergeCell ref="A18:B18"/>
    <mergeCell ref="C18:D18"/>
    <mergeCell ref="E18:F18"/>
    <mergeCell ref="G18:H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End of Contract list</vt:lpstr>
      <vt:lpstr>charges</vt:lpstr>
      <vt:lpstr>invoice</vt:lpstr>
      <vt:lpstr>End of service payments</vt:lpstr>
      <vt:lpstr>invoice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</dc:creator>
  <cp:lastModifiedBy>HP</cp:lastModifiedBy>
  <dcterms:created xsi:type="dcterms:W3CDTF">2018-08-14T08:48:10Z</dcterms:created>
  <dcterms:modified xsi:type="dcterms:W3CDTF">2018-08-20T11:55:24Z</dcterms:modified>
</cp:coreProperties>
</file>