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\Desktop\labour power\CHEC PROJECT 2018\Septemeber\LNG\"/>
    </mc:Choice>
  </mc:AlternateContent>
  <xr:revisionPtr revIDLastSave="0" documentId="13_ncr:1_{13EFBD82-A0D5-46D4-BA9A-91698DB6CFBC}" xr6:coauthVersionLast="36" xr6:coauthVersionMax="36" xr10:uidLastSave="{00000000-0000-0000-0000-000000000000}"/>
  <bookViews>
    <workbookView xWindow="0" yWindow="0" windowWidth="24000" windowHeight="8925" xr2:uid="{25B80EFA-81CB-4731-9109-2BAE9BA50A4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U7" i="1"/>
  <c r="N9" i="1" l="1"/>
  <c r="J16" i="1" l="1"/>
  <c r="AC20" i="1"/>
  <c r="AD20" i="1" s="1"/>
  <c r="W20" i="1"/>
  <c r="V20" i="1"/>
  <c r="J20" i="1"/>
  <c r="R20" i="1" s="1"/>
  <c r="H20" i="1"/>
  <c r="I20" i="1" s="1"/>
  <c r="AC19" i="1"/>
  <c r="AD19" i="1" s="1"/>
  <c r="W19" i="1"/>
  <c r="V19" i="1"/>
  <c r="J19" i="1"/>
  <c r="K19" i="1" s="1"/>
  <c r="I19" i="1"/>
  <c r="H19" i="1"/>
  <c r="AC18" i="1"/>
  <c r="AD18" i="1" s="1"/>
  <c r="V18" i="1"/>
  <c r="J18" i="1"/>
  <c r="K18" i="1" s="1"/>
  <c r="H18" i="1"/>
  <c r="W18" i="1" s="1"/>
  <c r="AC17" i="1"/>
  <c r="AJ17" i="1" s="1"/>
  <c r="V17" i="1"/>
  <c r="J17" i="1"/>
  <c r="R17" i="1" s="1"/>
  <c r="H17" i="1"/>
  <c r="W17" i="1" s="1"/>
  <c r="AC16" i="1"/>
  <c r="AJ16" i="1" s="1"/>
  <c r="V16" i="1"/>
  <c r="R16" i="1"/>
  <c r="H16" i="1"/>
  <c r="I16" i="1" s="1"/>
  <c r="N8" i="1"/>
  <c r="R8" i="1" s="1"/>
  <c r="W9" i="1"/>
  <c r="N10" i="1"/>
  <c r="W10" i="1" s="1"/>
  <c r="W8" i="1"/>
  <c r="N7" i="1"/>
  <c r="W7" i="1" s="1"/>
  <c r="I10" i="1"/>
  <c r="J10" i="1" s="1"/>
  <c r="T10" i="1" s="1"/>
  <c r="H10" i="1"/>
  <c r="I9" i="1"/>
  <c r="J9" i="1" s="1"/>
  <c r="T9" i="1" s="1"/>
  <c r="H9" i="1"/>
  <c r="I8" i="1"/>
  <c r="J8" i="1" s="1"/>
  <c r="T8" i="1" s="1"/>
  <c r="H8" i="1"/>
  <c r="I7" i="1"/>
  <c r="J7" i="1" s="1"/>
  <c r="H7" i="1"/>
  <c r="R7" i="1" l="1"/>
  <c r="AJ19" i="1"/>
  <c r="AD17" i="1"/>
  <c r="AJ20" i="1"/>
  <c r="T19" i="1"/>
  <c r="S19" i="1"/>
  <c r="T18" i="1"/>
  <c r="S18" i="1"/>
  <c r="AD16" i="1"/>
  <c r="I18" i="1"/>
  <c r="K20" i="1"/>
  <c r="I17" i="1"/>
  <c r="L20" i="1"/>
  <c r="U20" i="1" s="1"/>
  <c r="L19" i="1"/>
  <c r="U19" i="1" s="1"/>
  <c r="W16" i="1"/>
  <c r="K17" i="1"/>
  <c r="L18" i="1"/>
  <c r="U18" i="1" s="1"/>
  <c r="R19" i="1"/>
  <c r="K16" i="1"/>
  <c r="L17" i="1"/>
  <c r="U17" i="1" s="1"/>
  <c r="R18" i="1"/>
  <c r="AJ18" i="1"/>
  <c r="L16" i="1"/>
  <c r="U16" i="1" s="1"/>
  <c r="R10" i="1"/>
  <c r="R9" i="1"/>
  <c r="K7" i="1"/>
  <c r="Y7" i="1" s="1"/>
  <c r="K8" i="1"/>
  <c r="U8" i="1" s="1"/>
  <c r="Y8" i="1" s="1"/>
  <c r="L7" i="1"/>
  <c r="V7" i="1" s="1"/>
  <c r="L8" i="1"/>
  <c r="V8" i="1" s="1"/>
  <c r="K9" i="1"/>
  <c r="U9" i="1" s="1"/>
  <c r="Y9" i="1" s="1"/>
  <c r="K10" i="1"/>
  <c r="U10" i="1" s="1"/>
  <c r="Y10" i="1" s="1"/>
  <c r="L9" i="1"/>
  <c r="V9" i="1" s="1"/>
  <c r="L10" i="1"/>
  <c r="V10" i="1" s="1"/>
  <c r="S7" i="1"/>
  <c r="S8" i="1"/>
  <c r="S9" i="1"/>
  <c r="S10" i="1"/>
  <c r="AB19" i="1" l="1"/>
  <c r="Y19" i="1"/>
  <c r="S17" i="1"/>
  <c r="T17" i="1"/>
  <c r="X18" i="1"/>
  <c r="AB18" i="1"/>
  <c r="Y18" i="1"/>
  <c r="AE18" i="1"/>
  <c r="AF18" i="1" s="1"/>
  <c r="S16" i="1"/>
  <c r="T16" i="1"/>
  <c r="T20" i="1"/>
  <c r="S20" i="1"/>
  <c r="X19" i="1"/>
  <c r="AD9" i="1"/>
  <c r="AE9" i="1" s="1"/>
  <c r="X10" i="1"/>
  <c r="AC10" i="1" s="1"/>
  <c r="AD7" i="1"/>
  <c r="AE7" i="1" s="1"/>
  <c r="AD10" i="1"/>
  <c r="AE10" i="1" s="1"/>
  <c r="X9" i="1"/>
  <c r="X7" i="1"/>
  <c r="Z7" i="1" s="1"/>
  <c r="AC9" i="1"/>
  <c r="AD8" i="1"/>
  <c r="AE8" i="1" s="1"/>
  <c r="X8" i="1"/>
  <c r="Z10" i="1"/>
  <c r="AK10" i="1"/>
  <c r="AG18" i="1" l="1"/>
  <c r="AH18" i="1" s="1"/>
  <c r="X17" i="1"/>
  <c r="Y17" i="1" s="1"/>
  <c r="AB17" i="1"/>
  <c r="X16" i="1"/>
  <c r="Y16" i="1" s="1"/>
  <c r="AB16" i="1"/>
  <c r="AK18" i="1"/>
  <c r="AI18" i="1"/>
  <c r="X20" i="1"/>
  <c r="Y20" i="1" s="1"/>
  <c r="AB20" i="1"/>
  <c r="AK19" i="1"/>
  <c r="AE19" i="1"/>
  <c r="AF19" i="1" s="1"/>
  <c r="AG19" i="1" s="1"/>
  <c r="AH19" i="1" s="1"/>
  <c r="AI19" i="1" s="1"/>
  <c r="AF10" i="1"/>
  <c r="AG10" i="1" s="1"/>
  <c r="AH10" i="1" s="1"/>
  <c r="AI10" i="1" s="1"/>
  <c r="AJ10" i="1" s="1"/>
  <c r="Z8" i="1"/>
  <c r="AK8" i="1"/>
  <c r="AC8" i="1"/>
  <c r="AF8" i="1" s="1"/>
  <c r="AG8" i="1" s="1"/>
  <c r="AK7" i="1"/>
  <c r="AC7" i="1"/>
  <c r="AF9" i="1"/>
  <c r="AG9" i="1" s="1"/>
  <c r="Z9" i="1"/>
  <c r="AK9" i="1"/>
  <c r="AL9" i="1" s="1"/>
  <c r="AL10" i="1"/>
  <c r="AK17" i="1" l="1"/>
  <c r="AE17" i="1"/>
  <c r="AF17" i="1" s="1"/>
  <c r="AG17" i="1" s="1"/>
  <c r="AH17" i="1" s="1"/>
  <c r="AI17" i="1" s="1"/>
  <c r="AK20" i="1"/>
  <c r="AE20" i="1"/>
  <c r="AF20" i="1" s="1"/>
  <c r="AG20" i="1" s="1"/>
  <c r="AH20" i="1" s="1"/>
  <c r="AI20" i="1" s="1"/>
  <c r="AK16" i="1"/>
  <c r="AE16" i="1"/>
  <c r="AF16" i="1" s="1"/>
  <c r="AG16" i="1" s="1"/>
  <c r="AH16" i="1" s="1"/>
  <c r="AI16" i="1" s="1"/>
  <c r="AK11" i="1"/>
  <c r="AL8" i="1"/>
  <c r="AH9" i="1"/>
  <c r="AI9" i="1" s="1"/>
  <c r="AJ9" i="1" s="1"/>
  <c r="AH8" i="1"/>
  <c r="AI8" i="1" s="1"/>
  <c r="AJ8" i="1" s="1"/>
  <c r="AL7" i="1"/>
  <c r="AF7" i="1"/>
  <c r="AG7" i="1" s="1"/>
  <c r="AH7" i="1" s="1"/>
  <c r="AI7" i="1" s="1"/>
  <c r="AJ7" i="1" s="1"/>
  <c r="AN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</author>
    <author>HP</author>
    <author>ELIKEM</author>
  </authors>
  <commentList>
    <comment ref="AC4" authorId="0" shapeId="0" xr:uid="{928EF155-F470-457F-ADD8-71923181D624}">
      <text>
        <r>
          <rPr>
            <b/>
            <sz val="9"/>
            <color indexed="81"/>
            <rFont val="Tahoma"/>
            <family val="2"/>
          </rPr>
          <t>rich:corrected wrong formula
wrong formale: Overall gross excludes night shift allowance and other deduct. Picks it formula from a wrong lane Point 8 instead of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1" shapeId="0" xr:uid="{5B31ED35-F1DD-40C9-96A8-A85850D5E6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ACTUAL WEEKDAYS CHANGES WITHRESPECT TO DAYS WEEK DAYS IN THE MONTH</t>
        </r>
      </text>
    </comment>
    <comment ref="M6" authorId="1" shapeId="0" xr:uid="{54C1D0DD-1CD1-4BC2-BB4A-3DDB41AB80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ACTUAL WEEKDAYS CHANGES WITHRESPECT TO DAYS WEEK DAYS IN THE MONTH</t>
        </r>
      </text>
    </comment>
    <comment ref="I15" authorId="2" shapeId="0" xr:uid="{5E0D7F0B-B3B1-4B3C-AF25-F7B33342D89F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MON - FRI
</t>
        </r>
      </text>
    </comment>
    <comment ref="J15" authorId="2" shapeId="0" xr:uid="{E0386B77-49FE-4EB5-8326-09CA7B31B3C1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MON - FRI
</t>
        </r>
      </text>
    </comment>
    <comment ref="M15" authorId="2" shapeId="0" xr:uid="{DA5F3F7F-5DD2-4DEA-AFB2-74AC23C6E319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MON - FRI
</t>
        </r>
      </text>
    </comment>
    <comment ref="N15" authorId="2" shapeId="0" xr:uid="{105135AC-1296-4251-A468-812B33767FD4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SAT
</t>
        </r>
      </text>
    </comment>
    <comment ref="O15" authorId="2" shapeId="0" xr:uid="{DD512B4E-3BA1-4724-AD86-B1A2A96B7371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SUN&amp;HOLIDAY
PRESENT
</t>
        </r>
      </text>
    </comment>
    <comment ref="Q15" authorId="2" shapeId="0" xr:uid="{549C1C05-66C1-4DE2-847B-BE514E091AA1}">
      <text>
        <r>
          <rPr>
            <b/>
            <sz val="9"/>
            <color indexed="81"/>
            <rFont val="Tahoma"/>
            <family val="2"/>
          </rPr>
          <t>ELIKEM:</t>
        </r>
        <r>
          <rPr>
            <sz val="9"/>
            <color indexed="81"/>
            <rFont val="Tahoma"/>
            <family val="2"/>
          </rPr>
          <t xml:space="preserve">
DAYS
</t>
        </r>
      </text>
    </comment>
    <comment ref="R15" authorId="2" shapeId="0" xr:uid="{01D04C56-39C8-4E78-B32D-392EC86A9873}">
      <text>
        <r>
          <rPr>
            <b/>
            <sz val="9"/>
            <color indexed="81"/>
            <rFont val="Tahoma"/>
            <family val="2"/>
            <charset val="134"/>
          </rPr>
          <t>ELIKEM:</t>
        </r>
        <r>
          <rPr>
            <sz val="9"/>
            <color indexed="81"/>
            <rFont val="Tahoma"/>
            <family val="2"/>
            <charset val="134"/>
          </rPr>
          <t xml:space="preserve">
MON - FRI</t>
        </r>
      </text>
    </comment>
    <comment ref="S15" authorId="2" shapeId="0" xr:uid="{7940A289-D9B6-43D4-87B3-C36F44361DAC}">
      <text>
        <r>
          <rPr>
            <b/>
            <sz val="9"/>
            <color indexed="81"/>
            <rFont val="Tahoma"/>
            <family val="2"/>
            <charset val="134"/>
          </rPr>
          <t>ELIKEM:</t>
        </r>
        <r>
          <rPr>
            <sz val="9"/>
            <color indexed="81"/>
            <rFont val="Tahoma"/>
            <family val="2"/>
            <charset val="134"/>
          </rPr>
          <t xml:space="preserve">
SAT
</t>
        </r>
      </text>
    </comment>
    <comment ref="T15" authorId="2" shapeId="0" xr:uid="{2E094D08-4893-4235-9DC1-9DE8F53FF187}">
      <text>
        <r>
          <rPr>
            <b/>
            <sz val="9"/>
            <color indexed="81"/>
            <rFont val="Tahoma"/>
            <family val="2"/>
            <charset val="134"/>
          </rPr>
          <t>ELIKEM:</t>
        </r>
        <r>
          <rPr>
            <sz val="9"/>
            <color indexed="81"/>
            <rFont val="Tahoma"/>
            <family val="2"/>
            <charset val="134"/>
          </rPr>
          <t xml:space="preserve">
SUN&amp;HOLIDAY
</t>
        </r>
      </text>
    </comment>
    <comment ref="Z15" authorId="2" shapeId="0" xr:uid="{9348D03B-DEBA-439C-9D94-1B983879A03B}">
      <text>
        <r>
          <rPr>
            <b/>
            <sz val="9"/>
            <color indexed="81"/>
            <rFont val="Tahoma"/>
            <family val="2"/>
            <charset val="134"/>
          </rPr>
          <t>ELIKEM:</t>
        </r>
        <r>
          <rPr>
            <sz val="9"/>
            <color indexed="81"/>
            <rFont val="Tahoma"/>
            <family val="2"/>
            <charset val="134"/>
          </rPr>
          <t xml:space="preserve">
+
</t>
        </r>
      </text>
    </comment>
    <comment ref="AA15" authorId="2" shapeId="0" xr:uid="{14BE97D2-869A-40FE-8EE2-EC63B8B9C730}">
      <text>
        <r>
          <rPr>
            <b/>
            <sz val="9"/>
            <color indexed="81"/>
            <rFont val="Tahoma"/>
            <family val="2"/>
            <charset val="134"/>
          </rPr>
          <t>ELIKEM:</t>
        </r>
        <r>
          <rPr>
            <sz val="9"/>
            <color indexed="81"/>
            <rFont val="Tahoma"/>
            <family val="2"/>
            <charset val="134"/>
          </rPr>
          <t xml:space="preserve">
-</t>
        </r>
      </text>
    </comment>
  </commentList>
</comments>
</file>

<file path=xl/sharedStrings.xml><?xml version="1.0" encoding="utf-8"?>
<sst xmlns="http://schemas.openxmlformats.org/spreadsheetml/2006/main" count="99" uniqueCount="85">
  <si>
    <t>Standard and Fix</t>
  </si>
  <si>
    <t>changes every month from source</t>
  </si>
  <si>
    <t>Automated and depends on (M-P) against (H-L)</t>
  </si>
  <si>
    <t>Automated</t>
  </si>
  <si>
    <t>authomated dependent on the others</t>
  </si>
  <si>
    <t>实际到手</t>
    <phoneticPr fontId="0" type="noConversion"/>
  </si>
  <si>
    <r>
      <t>N</t>
    </r>
    <r>
      <rPr>
        <sz val="11"/>
        <color theme="1"/>
        <rFont val="Calibri"/>
        <family val="2"/>
        <scheme val="minor"/>
      </rPr>
      <t>o.</t>
    </r>
  </si>
  <si>
    <t>NAME</t>
  </si>
  <si>
    <t>Position and Department</t>
    <phoneticPr fontId="0" type="noConversion"/>
  </si>
  <si>
    <t>Level</t>
    <phoneticPr fontId="0" type="noConversion"/>
  </si>
  <si>
    <t>TOTAL FULL PRESENT HOURS THIS MONTH</t>
    <phoneticPr fontId="0" type="noConversion"/>
  </si>
  <si>
    <t>BASIC SALARY</t>
  </si>
  <si>
    <t>TRANSPROT ALLOWANCE</t>
  </si>
  <si>
    <t>GROSS1</t>
    <phoneticPr fontId="0" type="noConversion"/>
  </si>
  <si>
    <t>weekday
Hourly Rate</t>
    <phoneticPr fontId="0" type="noConversion"/>
  </si>
  <si>
    <t>weekday
Overtime Rate</t>
    <phoneticPr fontId="0" type="noConversion"/>
  </si>
  <si>
    <t>Holiday&amp;
Weekend
Overtime Rate</t>
    <phoneticPr fontId="0" type="noConversion"/>
  </si>
  <si>
    <t>Night Shift Allowance</t>
    <phoneticPr fontId="0" type="noConversion"/>
  </si>
  <si>
    <t xml:space="preserve">Weekday Nightshift Hours </t>
    <phoneticPr fontId="0" type="noConversion"/>
  </si>
  <si>
    <t>Weekday
Overtime Hours</t>
    <phoneticPr fontId="0" type="noConversion"/>
  </si>
  <si>
    <t>Holiday&amp;
Weekend
Overtime Hours</t>
    <phoneticPr fontId="0" type="noConversion"/>
  </si>
  <si>
    <t>Weekday
Dayshift
Basic</t>
  </si>
  <si>
    <t xml:space="preserve">Weekday Nightshift Basic </t>
    <phoneticPr fontId="0" type="noConversion"/>
  </si>
  <si>
    <t>Weekday
Overtime Allowance</t>
    <phoneticPr fontId="0" type="noConversion"/>
  </si>
  <si>
    <t>Holiday&amp;
Weekend
Overtime Allowance</t>
    <phoneticPr fontId="0" type="noConversion"/>
  </si>
  <si>
    <t>Night Shift
Allowance</t>
    <phoneticPr fontId="0" type="noConversion"/>
  </si>
  <si>
    <t>T&amp;T
ACTUAL PRESENT GH¢</t>
  </si>
  <si>
    <t>TOTAL WAGE GH¢</t>
  </si>
  <si>
    <t>TOTAL OVERTIME</t>
  </si>
  <si>
    <t>OVERTIME TAX</t>
  </si>
  <si>
    <t>Other Allowance</t>
    <phoneticPr fontId="0" type="noConversion"/>
  </si>
  <si>
    <t>OTHER DEDUCTION</t>
    <phoneticPr fontId="0" type="noConversion"/>
  </si>
  <si>
    <t>OVERALL GROSS</t>
    <phoneticPr fontId="0" type="noConversion"/>
  </si>
  <si>
    <t>SSF BASIC</t>
    <phoneticPr fontId="0" type="noConversion"/>
  </si>
  <si>
    <t>SSF (5.5%)</t>
  </si>
  <si>
    <t>TAXABLE</t>
  </si>
  <si>
    <t>PAYE</t>
  </si>
  <si>
    <t>TOTAL TAX</t>
  </si>
  <si>
    <t>TOTAL DEDUCTION</t>
  </si>
  <si>
    <t>NET PAY</t>
  </si>
  <si>
    <t>SSNIT- COMPANY 13%</t>
  </si>
  <si>
    <t>TOTAL SALARY COST</t>
  </si>
  <si>
    <t>YVONNE ANNAN</t>
  </si>
  <si>
    <t>CLEANER</t>
  </si>
  <si>
    <t>CHARLOTTE OGUAH</t>
  </si>
  <si>
    <t>JOAN ERICA AGBI</t>
  </si>
  <si>
    <t>PATIENCE ASIEDU</t>
  </si>
  <si>
    <t xml:space="preserve"> STANDARD WORKING DAYS </t>
  </si>
  <si>
    <t>Adjusted Weekday
Dayshift HourS (27 days)</t>
  </si>
  <si>
    <t>Actual Weekday Hours (21 days)</t>
  </si>
  <si>
    <t>CASUAL WORKERS PAYROLL SAMPLE USING 27 DAYS</t>
  </si>
  <si>
    <r>
      <t>N</t>
    </r>
    <r>
      <rPr>
        <sz val="11"/>
        <color theme="1"/>
        <rFont val="Calibri"/>
        <family val="2"/>
        <scheme val="minor"/>
      </rPr>
      <t>O.</t>
    </r>
  </si>
  <si>
    <t>POSITION&amp;DEPT.</t>
    <phoneticPr fontId="0" type="noConversion"/>
  </si>
  <si>
    <t>WEEKDAYS THIS MONTH</t>
    <phoneticPr fontId="0" type="noConversion"/>
  </si>
  <si>
    <t>BASIC SALARY</t>
    <phoneticPr fontId="0" type="noConversion"/>
  </si>
  <si>
    <t>T&amp;T</t>
  </si>
  <si>
    <t>FIXOVER TIME</t>
    <phoneticPr fontId="0" type="noConversion"/>
  </si>
  <si>
    <t xml:space="preserve"> WEEKDAY PRESENT SALARY</t>
    <phoneticPr fontId="0" type="noConversion"/>
  </si>
  <si>
    <t>WEEKDAY DAILY RATE</t>
    <phoneticPr fontId="0" type="noConversion"/>
  </si>
  <si>
    <t>WEEKENDDAILY RATE</t>
    <phoneticPr fontId="0" type="noConversion"/>
  </si>
  <si>
    <t>HOLIDAY DAILY RATE</t>
    <phoneticPr fontId="0" type="noConversion"/>
  </si>
  <si>
    <t>WEEKDAY PRESNET DAYS</t>
    <phoneticPr fontId="0" type="noConversion"/>
  </si>
  <si>
    <t>SATURDAY PRESNET DAYS</t>
    <phoneticPr fontId="0" type="noConversion"/>
  </si>
  <si>
    <t>SUNDAY PRESNET DAYS</t>
    <phoneticPr fontId="0" type="noConversion"/>
  </si>
  <si>
    <t>HOLIDAY PRESENT DAYS</t>
    <phoneticPr fontId="0" type="noConversion"/>
  </si>
  <si>
    <t>COMPTIME
(DAYS)</t>
    <phoneticPr fontId="0" type="noConversion"/>
  </si>
  <si>
    <t>WEEKDAY SALARY</t>
    <phoneticPr fontId="0" type="noConversion"/>
  </si>
  <si>
    <t>SATURDAY SALARY</t>
    <phoneticPr fontId="0" type="noConversion"/>
  </si>
  <si>
    <t>SUNDAY SALARY</t>
    <phoneticPr fontId="0" type="noConversion"/>
  </si>
  <si>
    <t>HOLIDAY SALARY</t>
    <phoneticPr fontId="0" type="noConversion"/>
  </si>
  <si>
    <t>T&amp;T PRESENT</t>
    <phoneticPr fontId="0" type="noConversion"/>
  </si>
  <si>
    <t>FIXED OVERTIME PRESENT</t>
    <phoneticPr fontId="0" type="noConversion"/>
  </si>
  <si>
    <t>GROSS</t>
    <phoneticPr fontId="0" type="noConversion"/>
  </si>
  <si>
    <t>ACTURE BASIC FOR SSF CACULATION</t>
    <phoneticPr fontId="0" type="noConversion"/>
  </si>
  <si>
    <t>OBED AMPONSAH NYARKO</t>
  </si>
  <si>
    <t>ADMIN OFFICER</t>
  </si>
  <si>
    <t>SABINA KUMASSAH</t>
  </si>
  <si>
    <t>RECEPTIONIST</t>
  </si>
  <si>
    <t>FELIX OKYERE</t>
  </si>
  <si>
    <t>RECRUITMENT OFFICER</t>
  </si>
  <si>
    <t>ADDAE SAMUEL BOATENG</t>
  </si>
  <si>
    <t>ADMIN ASSIT</t>
  </si>
  <si>
    <t>ELLEN TETTEH</t>
  </si>
  <si>
    <t>OFFICE ASSISTANT</t>
  </si>
  <si>
    <t>OFFICERS PAYROLL SAMPLE USING 27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</si>
</sst>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[Red]\(0.00\)"/>
    <numFmt numFmtId="165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name val="Calibri"/>
      <family val="2"/>
    </font>
    <font>
      <sz val="11"/>
      <color indexed="8"/>
      <name val="Calibri"/>
      <family val="2"/>
    </font>
    <font>
      <b/>
      <sz val="10"/>
      <color rgb="FFFFFF00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 tint="0.49998474074526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b/>
      <sz val="10"/>
      <color rgb="FFC00000"/>
      <name val="Calibri"/>
      <family val="2"/>
    </font>
    <font>
      <b/>
      <sz val="11"/>
      <color indexed="8"/>
      <name val="Arial"/>
      <family val="2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5" fontId="1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2" applyFont="1" applyFill="1"/>
    <xf numFmtId="0" fontId="1" fillId="0" borderId="0" xfId="2" applyFont="1" applyFill="1"/>
    <xf numFmtId="0" fontId="4" fillId="0" borderId="0" xfId="2" applyFont="1" applyFill="1"/>
    <xf numFmtId="43" fontId="4" fillId="0" borderId="0" xfId="1" applyFont="1" applyFill="1" applyAlignment="1"/>
    <xf numFmtId="164" fontId="3" fillId="0" borderId="0" xfId="2" applyNumberFormat="1" applyFont="1" applyFill="1"/>
    <xf numFmtId="0" fontId="1" fillId="0" borderId="0" xfId="0" applyFont="1"/>
    <xf numFmtId="0" fontId="4" fillId="0" borderId="1" xfId="2" applyFont="1" applyFill="1" applyBorder="1"/>
    <xf numFmtId="0" fontId="3" fillId="0" borderId="1" xfId="2" applyFont="1" applyFill="1" applyBorder="1" applyAlignment="1"/>
    <xf numFmtId="0" fontId="3" fillId="2" borderId="1" xfId="2" applyFont="1" applyFill="1" applyBorder="1" applyAlignment="1"/>
    <xf numFmtId="0" fontId="3" fillId="0" borderId="1" xfId="2" applyFont="1" applyFill="1" applyBorder="1"/>
    <xf numFmtId="2" fontId="3" fillId="0" borderId="0" xfId="2" applyNumberFormat="1" applyFont="1" applyFill="1"/>
    <xf numFmtId="0" fontId="8" fillId="0" borderId="0" xfId="2" applyFont="1" applyFill="1"/>
    <xf numFmtId="0" fontId="9" fillId="0" borderId="0" xfId="2" applyFont="1" applyFill="1"/>
    <xf numFmtId="0" fontId="1" fillId="0" borderId="1" xfId="2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165" fontId="10" fillId="3" borderId="1" xfId="4" applyFont="1" applyFill="1" applyBorder="1" applyAlignment="1">
      <alignment horizontal="center" vertical="center" wrapText="1"/>
    </xf>
    <xf numFmtId="165" fontId="12" fillId="4" borderId="1" xfId="4" applyFont="1" applyFill="1" applyBorder="1" applyAlignment="1">
      <alignment horizontal="center" vertical="center" wrapText="1"/>
    </xf>
    <xf numFmtId="165" fontId="10" fillId="4" borderId="1" xfId="4" applyFont="1" applyFill="1" applyBorder="1" applyAlignment="1">
      <alignment horizontal="center" vertical="center" wrapText="1"/>
    </xf>
    <xf numFmtId="165" fontId="13" fillId="4" borderId="1" xfId="4" applyFont="1" applyFill="1" applyBorder="1" applyAlignment="1">
      <alignment horizontal="center" vertical="center" wrapText="1"/>
    </xf>
    <xf numFmtId="43" fontId="13" fillId="4" borderId="1" xfId="1" applyFont="1" applyFill="1" applyBorder="1" applyAlignment="1">
      <alignment horizontal="center" vertical="center" wrapText="1"/>
    </xf>
    <xf numFmtId="165" fontId="10" fillId="5" borderId="1" xfId="4" applyFont="1" applyFill="1" applyBorder="1" applyAlignment="1">
      <alignment horizontal="center" vertical="center" wrapText="1"/>
    </xf>
    <xf numFmtId="164" fontId="10" fillId="4" borderId="1" xfId="4" applyNumberFormat="1" applyFont="1" applyFill="1" applyBorder="1" applyAlignment="1">
      <alignment horizontal="center" vertical="center" wrapText="1"/>
    </xf>
    <xf numFmtId="165" fontId="10" fillId="6" borderId="1" xfId="4" applyFont="1" applyFill="1" applyBorder="1" applyAlignment="1">
      <alignment horizontal="center" vertical="center" wrapText="1"/>
    </xf>
    <xf numFmtId="165" fontId="10" fillId="5" borderId="2" xfId="4" applyFont="1" applyFill="1" applyBorder="1" applyAlignment="1">
      <alignment horizontal="center" vertical="center" wrapText="1"/>
    </xf>
    <xf numFmtId="0" fontId="14" fillId="0" borderId="1" xfId="2" applyFont="1" applyFill="1" applyBorder="1"/>
    <xf numFmtId="0" fontId="15" fillId="0" borderId="1" xfId="0" applyFont="1" applyFill="1" applyBorder="1"/>
    <xf numFmtId="165" fontId="16" fillId="3" borderId="1" xfId="5" applyFont="1" applyFill="1" applyBorder="1"/>
    <xf numFmtId="165" fontId="16" fillId="4" borderId="1" xfId="5" applyFont="1" applyFill="1" applyBorder="1"/>
    <xf numFmtId="43" fontId="16" fillId="4" borderId="1" xfId="1" applyFont="1" applyFill="1" applyBorder="1" applyAlignment="1"/>
    <xf numFmtId="2" fontId="14" fillId="4" borderId="1" xfId="5" applyNumberFormat="1" applyFont="1" applyFill="1" applyBorder="1"/>
    <xf numFmtId="2" fontId="17" fillId="0" borderId="1" xfId="5" applyNumberFormat="1" applyFont="1" applyFill="1" applyBorder="1"/>
    <xf numFmtId="165" fontId="17" fillId="3" borderId="1" xfId="5" applyFont="1" applyFill="1" applyBorder="1"/>
    <xf numFmtId="165" fontId="18" fillId="4" borderId="1" xfId="5" applyFont="1" applyFill="1" applyBorder="1"/>
    <xf numFmtId="164" fontId="18" fillId="4" borderId="1" xfId="5" applyNumberFormat="1" applyFont="1" applyFill="1" applyBorder="1"/>
    <xf numFmtId="165" fontId="18" fillId="2" borderId="1" xfId="5" applyFont="1" applyFill="1" applyBorder="1"/>
    <xf numFmtId="165" fontId="18" fillId="0" borderId="1" xfId="5" applyFont="1" applyFill="1" applyBorder="1"/>
    <xf numFmtId="165" fontId="19" fillId="2" borderId="1" xfId="4" applyFont="1" applyFill="1" applyBorder="1"/>
    <xf numFmtId="165" fontId="1" fillId="0" borderId="1" xfId="0" applyNumberFormat="1" applyFont="1" applyBorder="1"/>
    <xf numFmtId="0" fontId="15" fillId="2" borderId="1" xfId="0" applyFont="1" applyFill="1" applyBorder="1" applyAlignment="1">
      <alignment horizontal="left"/>
    </xf>
    <xf numFmtId="0" fontId="0" fillId="0" borderId="1" xfId="0" applyFont="1" applyFill="1" applyBorder="1"/>
    <xf numFmtId="0" fontId="15" fillId="0" borderId="1" xfId="0" applyFont="1" applyFill="1" applyBorder="1" applyAlignment="1">
      <alignment horizontal="left"/>
    </xf>
    <xf numFmtId="165" fontId="16" fillId="2" borderId="2" xfId="5" applyFont="1" applyFill="1" applyBorder="1"/>
    <xf numFmtId="0" fontId="2" fillId="0" borderId="0" xfId="0" applyFont="1"/>
    <xf numFmtId="43" fontId="2" fillId="0" borderId="0" xfId="1" applyFont="1" applyAlignment="1"/>
    <xf numFmtId="0" fontId="2" fillId="0" borderId="0" xfId="0" applyFont="1" applyFill="1"/>
    <xf numFmtId="165" fontId="1" fillId="0" borderId="0" xfId="0" applyNumberFormat="1" applyFont="1"/>
    <xf numFmtId="0" fontId="6" fillId="0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165" fontId="16" fillId="6" borderId="1" xfId="5" applyFont="1" applyFill="1" applyBorder="1"/>
    <xf numFmtId="0" fontId="10" fillId="6" borderId="1" xfId="3" applyFont="1" applyFill="1" applyBorder="1" applyAlignment="1">
      <alignment horizontal="center" vertical="center" wrapText="1"/>
    </xf>
    <xf numFmtId="0" fontId="16" fillId="6" borderId="1" xfId="2" applyFont="1" applyFill="1" applyBorder="1"/>
    <xf numFmtId="0" fontId="10" fillId="0" borderId="1" xfId="3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center" vertical="center" wrapText="1"/>
    </xf>
    <xf numFmtId="2" fontId="10" fillId="3" borderId="1" xfId="4" applyNumberFormat="1" applyFont="1" applyFill="1" applyBorder="1" applyAlignment="1">
      <alignment horizontal="center" vertical="center" wrapText="1"/>
    </xf>
    <xf numFmtId="2" fontId="10" fillId="4" borderId="1" xfId="4" applyNumberFormat="1" applyFont="1" applyFill="1" applyBorder="1" applyAlignment="1">
      <alignment horizontal="center" vertical="center" wrapText="1"/>
    </xf>
    <xf numFmtId="2" fontId="10" fillId="5" borderId="1" xfId="4" applyNumberFormat="1" applyFont="1" applyFill="1" applyBorder="1" applyAlignment="1">
      <alignment horizontal="center" vertical="center" wrapText="1"/>
    </xf>
    <xf numFmtId="2" fontId="23" fillId="4" borderId="1" xfId="4" applyNumberFormat="1" applyFont="1" applyFill="1" applyBorder="1" applyAlignment="1">
      <alignment horizontal="center" vertical="center" wrapText="1"/>
    </xf>
    <xf numFmtId="2" fontId="14" fillId="3" borderId="1" xfId="5" applyNumberFormat="1" applyFont="1" applyFill="1" applyBorder="1"/>
    <xf numFmtId="1" fontId="14" fillId="3" borderId="1" xfId="5" applyNumberFormat="1" applyFont="1" applyFill="1" applyBorder="1"/>
    <xf numFmtId="1" fontId="16" fillId="3" borderId="1" xfId="5" applyNumberFormat="1" applyFont="1" applyFill="1" applyBorder="1"/>
    <xf numFmtId="43" fontId="14" fillId="4" borderId="1" xfId="1" applyFont="1" applyFill="1" applyBorder="1" applyAlignment="1"/>
    <xf numFmtId="2" fontId="16" fillId="4" borderId="1" xfId="5" applyNumberFormat="1" applyFont="1" applyFill="1" applyBorder="1"/>
    <xf numFmtId="165" fontId="17" fillId="0" borderId="1" xfId="4" applyFont="1" applyFill="1" applyBorder="1"/>
    <xf numFmtId="0" fontId="15" fillId="0" borderId="3" xfId="0" applyFont="1" applyFill="1" applyBorder="1"/>
    <xf numFmtId="0" fontId="27" fillId="0" borderId="0" xfId="0" applyFont="1"/>
    <xf numFmtId="0" fontId="10" fillId="6" borderId="1" xfId="3" applyFont="1" applyFill="1" applyBorder="1" applyAlignment="1">
      <alignment horizontal="left" vertical="center" wrapText="1"/>
    </xf>
    <xf numFmtId="0" fontId="24" fillId="6" borderId="1" xfId="2" applyFont="1" applyFill="1" applyBorder="1"/>
    <xf numFmtId="2" fontId="10" fillId="6" borderId="1" xfId="4" applyNumberFormat="1" applyFont="1" applyFill="1" applyBorder="1" applyAlignment="1">
      <alignment horizontal="center" vertical="center" wrapText="1"/>
    </xf>
    <xf numFmtId="1" fontId="14" fillId="6" borderId="1" xfId="5" applyNumberFormat="1" applyFont="1" applyFill="1" applyBorder="1"/>
    <xf numFmtId="43" fontId="0" fillId="0" borderId="0" xfId="0" applyNumberFormat="1"/>
    <xf numFmtId="0" fontId="28" fillId="0" borderId="1" xfId="0" applyFont="1" applyBorder="1" applyAlignment="1">
      <alignment horizontal="center"/>
    </xf>
    <xf numFmtId="0" fontId="5" fillId="0" borderId="0" xfId="2" applyFont="1" applyFill="1" applyAlignment="1">
      <alignment horizontal="center" vertical="center"/>
    </xf>
    <xf numFmtId="0" fontId="6" fillId="0" borderId="1" xfId="2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1" xfId="2" applyFont="1" applyFill="1" applyBorder="1" applyAlignment="1">
      <alignment horizontal="center"/>
    </xf>
  </cellXfs>
  <cellStyles count="6">
    <cellStyle name="Comma" xfId="1" builtinId="3"/>
    <cellStyle name="Comma 2 2 2" xfId="5" xr:uid="{0DE49558-B6FF-4822-86D6-4AD1A7EC6D9C}"/>
    <cellStyle name="Comma 9 3" xfId="4" xr:uid="{375018E2-E590-4513-9CD6-DC633C632677}"/>
    <cellStyle name="Normal" xfId="0" builtinId="0"/>
    <cellStyle name="Normal 10" xfId="2" xr:uid="{4D9D0795-5DF4-4C81-8775-83064827E86B}"/>
    <cellStyle name="Normal 3 10" xfId="3" xr:uid="{BE4201A7-FD01-4D00-AEB3-6CB837E77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876C-48F3-4920-A11E-CEFA0AE0E397}">
  <dimension ref="A1:AN20"/>
  <sheetViews>
    <sheetView tabSelected="1" zoomScale="90" zoomScaleNormal="90" workbookViewId="0">
      <selection activeCell="I7" sqref="I7"/>
    </sheetView>
  </sheetViews>
  <sheetFormatPr defaultRowHeight="15"/>
  <cols>
    <col min="1" max="1" width="5.28515625" style="6" customWidth="1"/>
    <col min="2" max="2" width="26.42578125" style="6" customWidth="1"/>
    <col min="3" max="3" width="24" style="6" customWidth="1"/>
    <col min="4" max="4" width="10.42578125" style="6" customWidth="1"/>
    <col min="5" max="5" width="11.28515625" style="6" customWidth="1"/>
    <col min="6" max="6" width="10.42578125" style="6" bestFit="1" customWidth="1"/>
    <col min="7" max="7" width="10.85546875" style="6" customWidth="1"/>
    <col min="8" max="8" width="10.5703125" style="6" customWidth="1"/>
    <col min="9" max="12" width="9.140625" style="6"/>
    <col min="13" max="13" width="10.5703125" style="6" customWidth="1"/>
    <col min="14" max="14" width="10.28515625" style="6" customWidth="1"/>
    <col min="15" max="16" width="9.140625" style="6"/>
    <col min="17" max="17" width="11.42578125" style="6" customWidth="1"/>
    <col min="18" max="18" width="12.28515625" style="44" customWidth="1"/>
    <col min="19" max="19" width="13.28515625" style="6" bestFit="1" customWidth="1"/>
    <col min="20" max="20" width="10.140625" style="44" customWidth="1"/>
    <col min="21" max="21" width="10.7109375" style="44" customWidth="1"/>
    <col min="22" max="22" width="9.140625" style="6"/>
    <col min="23" max="24" width="10.5703125" style="45" customWidth="1"/>
    <col min="25" max="25" width="10.5703125" style="44" customWidth="1"/>
    <col min="26" max="26" width="10.5703125" style="46" customWidth="1"/>
    <col min="27" max="27" width="9.140625" style="6"/>
    <col min="28" max="28" width="10.42578125" style="6" customWidth="1"/>
    <col min="29" max="29" width="12.28515625" style="44" customWidth="1"/>
    <col min="30" max="30" width="10.85546875" style="6" customWidth="1"/>
    <col min="31" max="31" width="10.7109375" style="6" customWidth="1"/>
    <col min="32" max="32" width="12.28515625" style="6" customWidth="1"/>
    <col min="33" max="34" width="13.42578125" style="6" customWidth="1"/>
    <col min="35" max="35" width="14.28515625" style="6" customWidth="1"/>
    <col min="36" max="36" width="13.42578125" style="6" customWidth="1"/>
    <col min="37" max="37" width="11.42578125" style="6" customWidth="1"/>
    <col min="38" max="38" width="12.5703125" style="6" customWidth="1"/>
  </cols>
  <sheetData>
    <row r="1" spans="1:40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1"/>
      <c r="T1" s="3"/>
      <c r="U1" s="3"/>
      <c r="V1" s="1"/>
      <c r="W1" s="4"/>
      <c r="X1" s="4"/>
      <c r="Y1" s="3"/>
      <c r="Z1" s="3"/>
      <c r="AA1" s="1"/>
      <c r="AB1" s="1"/>
      <c r="AC1" s="3"/>
      <c r="AD1" s="5"/>
      <c r="AE1" s="1"/>
      <c r="AF1" s="1"/>
      <c r="AG1" s="1"/>
      <c r="AH1" s="1"/>
      <c r="AI1" s="1"/>
      <c r="AJ1" s="1"/>
      <c r="AK1" s="1"/>
    </row>
    <row r="2" spans="1:40" ht="20.25">
      <c r="A2" s="1"/>
      <c r="B2" s="1"/>
      <c r="C2" s="1"/>
      <c r="D2" s="1"/>
      <c r="E2" s="1"/>
      <c r="F2" s="76" t="s">
        <v>50</v>
      </c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1"/>
      <c r="T2" s="3"/>
      <c r="U2" s="3"/>
      <c r="V2" s="1"/>
      <c r="W2" s="4"/>
      <c r="X2" s="4"/>
      <c r="Y2" s="3"/>
      <c r="Z2" s="3"/>
      <c r="AA2" s="1"/>
      <c r="AB2" s="1"/>
      <c r="AC2" s="3"/>
      <c r="AD2" s="5"/>
      <c r="AE2" s="73"/>
      <c r="AF2" s="73"/>
      <c r="AG2" s="73"/>
      <c r="AH2" s="73"/>
      <c r="AI2" s="73"/>
      <c r="AJ2" s="73"/>
      <c r="AK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1"/>
      <c r="T3" s="3"/>
      <c r="U3" s="3"/>
      <c r="V3" s="1"/>
      <c r="W3" s="4"/>
      <c r="X3" s="4"/>
      <c r="Y3" s="3"/>
      <c r="Z3" s="3"/>
      <c r="AA3" s="1"/>
      <c r="AB3" s="1"/>
      <c r="AC3" s="3"/>
      <c r="AD3" s="5"/>
      <c r="AE3" s="73"/>
      <c r="AF3" s="73"/>
      <c r="AG3" s="73"/>
      <c r="AH3" s="73"/>
      <c r="AI3" s="73"/>
      <c r="AJ3" s="73"/>
      <c r="AK3" s="1"/>
    </row>
    <row r="4" spans="1:40">
      <c r="A4" s="1"/>
      <c r="B4" s="1"/>
      <c r="C4" s="1"/>
      <c r="D4" s="1"/>
      <c r="E4" s="1"/>
      <c r="F4" s="74" t="s">
        <v>0</v>
      </c>
      <c r="G4" s="74"/>
      <c r="H4" s="74"/>
      <c r="I4" s="74"/>
      <c r="J4" s="74"/>
      <c r="K4" s="74"/>
      <c r="L4" s="74"/>
      <c r="M4" s="48"/>
      <c r="N4" s="74" t="s">
        <v>1</v>
      </c>
      <c r="O4" s="74"/>
      <c r="P4" s="74"/>
      <c r="Q4" s="74"/>
      <c r="R4" s="75" t="s">
        <v>2</v>
      </c>
      <c r="S4" s="75"/>
      <c r="T4" s="75"/>
      <c r="U4" s="75"/>
      <c r="V4" s="75"/>
      <c r="W4" s="75"/>
      <c r="X4" s="75"/>
      <c r="Y4" s="75"/>
      <c r="Z4" s="7" t="s">
        <v>3</v>
      </c>
      <c r="AA4" s="1"/>
      <c r="AB4" s="1"/>
      <c r="AC4" s="7"/>
      <c r="AD4" s="74" t="s">
        <v>4</v>
      </c>
      <c r="AE4" s="74"/>
      <c r="AF4" s="74"/>
      <c r="AG4" s="74"/>
      <c r="AH4" s="74"/>
      <c r="AI4" s="74"/>
      <c r="AJ4" s="74"/>
      <c r="AK4" s="74"/>
      <c r="AL4" s="74"/>
    </row>
    <row r="5" spans="1:40">
      <c r="A5" s="1"/>
      <c r="B5" s="8" t="s">
        <v>47</v>
      </c>
      <c r="C5" s="9"/>
      <c r="D5" s="49">
        <v>21</v>
      </c>
      <c r="E5" s="10"/>
      <c r="F5" s="11"/>
      <c r="G5" s="11"/>
      <c r="H5" s="11"/>
      <c r="I5" s="11"/>
      <c r="J5" s="1"/>
      <c r="K5" s="1"/>
      <c r="L5" s="1"/>
      <c r="M5" s="1"/>
      <c r="N5" s="12"/>
      <c r="O5" s="12"/>
      <c r="P5" s="12"/>
      <c r="Q5" s="12"/>
      <c r="R5" s="3"/>
      <c r="S5" s="1"/>
      <c r="T5" s="3"/>
      <c r="U5" s="3"/>
      <c r="V5" s="1"/>
      <c r="W5" s="4"/>
      <c r="X5" s="4"/>
      <c r="Y5" s="3"/>
      <c r="Z5" s="3"/>
      <c r="AA5" s="1"/>
      <c r="AB5" s="1"/>
      <c r="AC5" s="13"/>
      <c r="AD5" s="5"/>
      <c r="AE5" s="1"/>
      <c r="AF5" s="1"/>
      <c r="AG5" s="1"/>
      <c r="AH5" s="1"/>
      <c r="AI5" s="1"/>
      <c r="AJ5" s="12" t="s">
        <v>5</v>
      </c>
      <c r="AK5" s="1"/>
    </row>
    <row r="6" spans="1:40" ht="63.75">
      <c r="A6" s="14" t="s">
        <v>6</v>
      </c>
      <c r="B6" s="15" t="s">
        <v>7</v>
      </c>
      <c r="C6" s="16" t="s">
        <v>8</v>
      </c>
      <c r="D6" s="16" t="s">
        <v>9</v>
      </c>
      <c r="E6" s="51" t="s">
        <v>10</v>
      </c>
      <c r="F6" s="17" t="s">
        <v>11</v>
      </c>
      <c r="G6" s="17" t="s">
        <v>12</v>
      </c>
      <c r="H6" s="18" t="s">
        <v>13</v>
      </c>
      <c r="I6" s="19" t="s">
        <v>14</v>
      </c>
      <c r="J6" s="19" t="s">
        <v>15</v>
      </c>
      <c r="K6" s="19" t="s">
        <v>16</v>
      </c>
      <c r="L6" s="19" t="s">
        <v>17</v>
      </c>
      <c r="M6" s="24" t="s">
        <v>49</v>
      </c>
      <c r="N6" s="24" t="s">
        <v>48</v>
      </c>
      <c r="O6" s="17" t="s">
        <v>18</v>
      </c>
      <c r="P6" s="17" t="s">
        <v>19</v>
      </c>
      <c r="Q6" s="17" t="s">
        <v>20</v>
      </c>
      <c r="R6" s="20" t="s">
        <v>21</v>
      </c>
      <c r="S6" s="20" t="s">
        <v>22</v>
      </c>
      <c r="T6" s="20" t="s">
        <v>23</v>
      </c>
      <c r="U6" s="20" t="s">
        <v>24</v>
      </c>
      <c r="V6" s="20" t="s">
        <v>25</v>
      </c>
      <c r="W6" s="21" t="s">
        <v>26</v>
      </c>
      <c r="X6" s="21" t="s">
        <v>27</v>
      </c>
      <c r="Y6" s="20" t="s">
        <v>28</v>
      </c>
      <c r="Z6" s="22" t="s">
        <v>29</v>
      </c>
      <c r="AA6" s="17" t="s">
        <v>30</v>
      </c>
      <c r="AB6" s="17" t="s">
        <v>31</v>
      </c>
      <c r="AC6" s="18" t="s">
        <v>32</v>
      </c>
      <c r="AD6" s="23" t="s">
        <v>33</v>
      </c>
      <c r="AE6" s="22" t="s">
        <v>34</v>
      </c>
      <c r="AF6" s="22" t="s">
        <v>35</v>
      </c>
      <c r="AG6" s="22" t="s">
        <v>36</v>
      </c>
      <c r="AH6" s="22" t="s">
        <v>37</v>
      </c>
      <c r="AI6" s="22" t="s">
        <v>38</v>
      </c>
      <c r="AJ6" s="22" t="s">
        <v>39</v>
      </c>
      <c r="AK6" s="24" t="s">
        <v>40</v>
      </c>
      <c r="AL6" s="25" t="s">
        <v>41</v>
      </c>
    </row>
    <row r="7" spans="1:40">
      <c r="A7" s="26">
        <v>1</v>
      </c>
      <c r="B7" s="27" t="s">
        <v>42</v>
      </c>
      <c r="C7" s="27" t="s">
        <v>43</v>
      </c>
      <c r="D7" s="27"/>
      <c r="E7" s="52">
        <v>216</v>
      </c>
      <c r="F7" s="28">
        <v>400</v>
      </c>
      <c r="G7" s="28">
        <v>150</v>
      </c>
      <c r="H7" s="29">
        <f t="shared" ref="H7:H10" si="0">F7+G7</f>
        <v>550</v>
      </c>
      <c r="I7" s="29">
        <f t="shared" ref="I7:I10" si="1">F7/E7</f>
        <v>1.8518518518518519</v>
      </c>
      <c r="J7" s="29">
        <f t="shared" ref="J7:J10" si="2">I7*1.5</f>
        <v>2.7777777777777777</v>
      </c>
      <c r="K7" s="29">
        <f t="shared" ref="K7:K10" si="3">I7*2</f>
        <v>3.7037037037037037</v>
      </c>
      <c r="L7" s="29">
        <f t="shared" ref="L7:L10" si="4">I7*25%</f>
        <v>0.46296296296296297</v>
      </c>
      <c r="M7" s="50">
        <v>168</v>
      </c>
      <c r="N7" s="50">
        <f>M7+(6*8)</f>
        <v>216</v>
      </c>
      <c r="O7" s="28">
        <v>0</v>
      </c>
      <c r="P7" s="28">
        <v>39.5</v>
      </c>
      <c r="Q7" s="28">
        <v>38.5</v>
      </c>
      <c r="R7" s="29">
        <f>I7*N7</f>
        <v>400</v>
      </c>
      <c r="S7" s="29">
        <f>O7*I7</f>
        <v>0</v>
      </c>
      <c r="T7" s="29">
        <f>+J7*P7</f>
        <v>109.72222222222221</v>
      </c>
      <c r="U7" s="29">
        <f>K7*Q7</f>
        <v>142.59259259259258</v>
      </c>
      <c r="V7" s="29">
        <f>O7*L7</f>
        <v>0</v>
      </c>
      <c r="W7" s="30">
        <f>G7/E7*(N7+O7)</f>
        <v>150</v>
      </c>
      <c r="X7" s="30">
        <f t="shared" ref="X7:X10" si="5">R7+S7</f>
        <v>400</v>
      </c>
      <c r="Y7" s="31">
        <f t="shared" ref="Y7:Y10" si="6">T7+U7</f>
        <v>252.31481481481478</v>
      </c>
      <c r="Z7" s="32">
        <f t="shared" ref="Z7:Z10" si="7">IF(X7&gt;1500,0,IF(Y7&gt;50%*X7,(50%*X7*5%)+(Y7-50%*X7)*10%,5%*Y7))</f>
        <v>15.231481481481477</v>
      </c>
      <c r="AA7" s="33"/>
      <c r="AB7" s="33"/>
      <c r="AC7" s="34">
        <f t="shared" ref="AC7:AC10" si="8">V7+X7+W7+Y7+AA7-AB7</f>
        <v>802.31481481481478</v>
      </c>
      <c r="AD7" s="35">
        <f t="shared" ref="AD7:AD10" si="9">R7+S7</f>
        <v>400</v>
      </c>
      <c r="AE7" s="36">
        <f t="shared" ref="AE7:AE10" si="10">AD7*0.055</f>
        <v>22</v>
      </c>
      <c r="AF7" s="36">
        <f t="shared" ref="AF7:AF10" si="11">IF(X7&lt;1500,AC7-AE7-Y7,AC7-AE7)</f>
        <v>528</v>
      </c>
      <c r="AG7" s="37">
        <f t="shared" ref="AG7:AG10" si="12">IF(AF7&gt;3241,(AF7-3241)*25%+505.25,IF(AF7&gt;431,(AF7-431)*17.5%+13.5,IF(AF7&gt;331,(AF7-331)*10%+3.5,IF(AF7&gt;261,(AF7-261)*5%,0))))</f>
        <v>30.474999999999998</v>
      </c>
      <c r="AH7" s="37">
        <f t="shared" ref="AH7:AH10" si="13">Z7+AG7</f>
        <v>45.706481481481475</v>
      </c>
      <c r="AI7" s="37">
        <f t="shared" ref="AI7:AI10" si="14">AE7+AH7</f>
        <v>67.706481481481475</v>
      </c>
      <c r="AJ7" s="37">
        <f t="shared" ref="AJ7:AJ10" si="15">AC7-AI7</f>
        <v>734.60833333333335</v>
      </c>
      <c r="AK7" s="38">
        <f>X7*0.13</f>
        <v>52</v>
      </c>
      <c r="AL7" s="39">
        <f t="shared" ref="AL7:AL10" si="16">SUM(AC7+AK7)</f>
        <v>854.31481481481478</v>
      </c>
      <c r="AM7">
        <v>811.26462264150928</v>
      </c>
      <c r="AN7" s="71">
        <f>(AM7-AJ7)/AJ7*100</f>
        <v>10.434987711117161</v>
      </c>
    </row>
    <row r="8" spans="1:40">
      <c r="A8" s="26">
        <v>2</v>
      </c>
      <c r="B8" s="27" t="s">
        <v>44</v>
      </c>
      <c r="C8" s="27" t="s">
        <v>43</v>
      </c>
      <c r="D8" s="27"/>
      <c r="E8" s="52">
        <v>216</v>
      </c>
      <c r="F8" s="28">
        <v>400</v>
      </c>
      <c r="G8" s="28">
        <v>150</v>
      </c>
      <c r="H8" s="29">
        <f t="shared" si="0"/>
        <v>550</v>
      </c>
      <c r="I8" s="29">
        <f t="shared" si="1"/>
        <v>1.8518518518518519</v>
      </c>
      <c r="J8" s="29">
        <f t="shared" si="2"/>
        <v>2.7777777777777777</v>
      </c>
      <c r="K8" s="29">
        <f t="shared" si="3"/>
        <v>3.7037037037037037</v>
      </c>
      <c r="L8" s="29">
        <f t="shared" si="4"/>
        <v>0.46296296296296297</v>
      </c>
      <c r="M8" s="50">
        <v>168</v>
      </c>
      <c r="N8" s="50">
        <f t="shared" ref="N8:N10" si="17">M8+(6*8)</f>
        <v>216</v>
      </c>
      <c r="O8" s="28">
        <v>0</v>
      </c>
      <c r="P8" s="28">
        <v>48.5</v>
      </c>
      <c r="Q8" s="28">
        <v>51.5</v>
      </c>
      <c r="R8" s="29">
        <f t="shared" ref="R8:R10" si="18">I8*N8</f>
        <v>400</v>
      </c>
      <c r="S8" s="29">
        <f>O8*I8</f>
        <v>0</v>
      </c>
      <c r="T8" s="29">
        <f>+J8*P8</f>
        <v>134.72222222222223</v>
      </c>
      <c r="U8" s="29">
        <f>K8*Q8</f>
        <v>190.74074074074073</v>
      </c>
      <c r="V8" s="29">
        <f>O8*L8</f>
        <v>0</v>
      </c>
      <c r="W8" s="30">
        <f t="shared" ref="W8:W10" si="19">G8/E8*(N8+O8)</f>
        <v>150</v>
      </c>
      <c r="X8" s="30">
        <f t="shared" si="5"/>
        <v>400</v>
      </c>
      <c r="Y8" s="31">
        <f t="shared" si="6"/>
        <v>325.46296296296293</v>
      </c>
      <c r="Z8" s="32">
        <f t="shared" si="7"/>
        <v>22.546296296296294</v>
      </c>
      <c r="AA8" s="33"/>
      <c r="AB8" s="33"/>
      <c r="AC8" s="34">
        <f t="shared" si="8"/>
        <v>875.46296296296293</v>
      </c>
      <c r="AD8" s="35">
        <f t="shared" si="9"/>
        <v>400</v>
      </c>
      <c r="AE8" s="36">
        <f t="shared" si="10"/>
        <v>22</v>
      </c>
      <c r="AF8" s="36">
        <f t="shared" si="11"/>
        <v>528</v>
      </c>
      <c r="AG8" s="37">
        <f t="shared" si="12"/>
        <v>30.474999999999998</v>
      </c>
      <c r="AH8" s="37">
        <f t="shared" si="13"/>
        <v>53.021296296296292</v>
      </c>
      <c r="AI8" s="37">
        <f t="shared" si="14"/>
        <v>75.021296296296299</v>
      </c>
      <c r="AJ8" s="37">
        <f t="shared" si="15"/>
        <v>800.44166666666661</v>
      </c>
      <c r="AK8" s="38">
        <f t="shared" ref="AK8:AK10" si="20">X8*0.13</f>
        <v>52</v>
      </c>
      <c r="AL8" s="39">
        <f t="shared" si="16"/>
        <v>927.46296296296293</v>
      </c>
    </row>
    <row r="9" spans="1:40">
      <c r="A9" s="26">
        <v>3</v>
      </c>
      <c r="B9" s="27" t="s">
        <v>45</v>
      </c>
      <c r="C9" s="27" t="s">
        <v>43</v>
      </c>
      <c r="D9" s="27"/>
      <c r="E9" s="52">
        <v>216</v>
      </c>
      <c r="F9" s="28">
        <v>400</v>
      </c>
      <c r="G9" s="28">
        <v>150</v>
      </c>
      <c r="H9" s="29">
        <f t="shared" si="0"/>
        <v>550</v>
      </c>
      <c r="I9" s="29">
        <f t="shared" si="1"/>
        <v>1.8518518518518519</v>
      </c>
      <c r="J9" s="29">
        <f t="shared" si="2"/>
        <v>2.7777777777777777</v>
      </c>
      <c r="K9" s="29">
        <f t="shared" si="3"/>
        <v>3.7037037037037037</v>
      </c>
      <c r="L9" s="29">
        <f t="shared" si="4"/>
        <v>0.46296296296296297</v>
      </c>
      <c r="M9" s="50">
        <v>168</v>
      </c>
      <c r="N9" s="50">
        <f>M9+(6*8)</f>
        <v>216</v>
      </c>
      <c r="O9" s="28">
        <v>0</v>
      </c>
      <c r="P9" s="28">
        <v>42</v>
      </c>
      <c r="Q9" s="28">
        <v>61</v>
      </c>
      <c r="R9" s="29">
        <f t="shared" si="18"/>
        <v>400</v>
      </c>
      <c r="S9" s="29">
        <f>O9*I9</f>
        <v>0</v>
      </c>
      <c r="T9" s="29">
        <f>+J9*P9</f>
        <v>116.66666666666666</v>
      </c>
      <c r="U9" s="29">
        <f>K9*Q9</f>
        <v>225.92592592592592</v>
      </c>
      <c r="V9" s="29">
        <f>O9*L9</f>
        <v>0</v>
      </c>
      <c r="W9" s="30">
        <f t="shared" si="19"/>
        <v>150</v>
      </c>
      <c r="X9" s="30">
        <f t="shared" si="5"/>
        <v>400</v>
      </c>
      <c r="Y9" s="31">
        <f t="shared" si="6"/>
        <v>342.59259259259261</v>
      </c>
      <c r="Z9" s="32">
        <f t="shared" si="7"/>
        <v>24.25925925925926</v>
      </c>
      <c r="AA9" s="33"/>
      <c r="AB9" s="33"/>
      <c r="AC9" s="34">
        <f t="shared" si="8"/>
        <v>892.59259259259261</v>
      </c>
      <c r="AD9" s="35">
        <f t="shared" si="9"/>
        <v>400</v>
      </c>
      <c r="AE9" s="36">
        <f t="shared" si="10"/>
        <v>22</v>
      </c>
      <c r="AF9" s="36">
        <f t="shared" si="11"/>
        <v>528</v>
      </c>
      <c r="AG9" s="37">
        <f t="shared" si="12"/>
        <v>30.474999999999998</v>
      </c>
      <c r="AH9" s="37">
        <f t="shared" si="13"/>
        <v>54.734259259259261</v>
      </c>
      <c r="AI9" s="37">
        <f t="shared" si="14"/>
        <v>76.734259259259261</v>
      </c>
      <c r="AJ9" s="37">
        <f t="shared" si="15"/>
        <v>815.85833333333335</v>
      </c>
      <c r="AK9" s="38">
        <f t="shared" si="20"/>
        <v>52</v>
      </c>
      <c r="AL9" s="39">
        <f t="shared" si="16"/>
        <v>944.59259259259261</v>
      </c>
    </row>
    <row r="10" spans="1:40">
      <c r="A10" s="26">
        <v>4</v>
      </c>
      <c r="B10" s="27" t="s">
        <v>46</v>
      </c>
      <c r="C10" s="27" t="s">
        <v>43</v>
      </c>
      <c r="D10" s="27"/>
      <c r="E10" s="52">
        <v>216</v>
      </c>
      <c r="F10" s="28">
        <v>400</v>
      </c>
      <c r="G10" s="28">
        <v>150</v>
      </c>
      <c r="H10" s="29">
        <f t="shared" si="0"/>
        <v>550</v>
      </c>
      <c r="I10" s="29">
        <f t="shared" si="1"/>
        <v>1.8518518518518519</v>
      </c>
      <c r="J10" s="29">
        <f t="shared" si="2"/>
        <v>2.7777777777777777</v>
      </c>
      <c r="K10" s="29">
        <f t="shared" si="3"/>
        <v>3.7037037037037037</v>
      </c>
      <c r="L10" s="29">
        <f t="shared" si="4"/>
        <v>0.46296296296296297</v>
      </c>
      <c r="M10" s="50">
        <v>168</v>
      </c>
      <c r="N10" s="50">
        <f t="shared" si="17"/>
        <v>216</v>
      </c>
      <c r="O10" s="28">
        <v>0</v>
      </c>
      <c r="P10" s="28">
        <v>38</v>
      </c>
      <c r="Q10" s="28">
        <v>50</v>
      </c>
      <c r="R10" s="29">
        <f t="shared" si="18"/>
        <v>400</v>
      </c>
      <c r="S10" s="29">
        <f>O10*I10</f>
        <v>0</v>
      </c>
      <c r="T10" s="29">
        <f>+J10*P10</f>
        <v>105.55555555555556</v>
      </c>
      <c r="U10" s="29">
        <f>K10*Q10</f>
        <v>185.18518518518519</v>
      </c>
      <c r="V10" s="29">
        <f>O10*L10</f>
        <v>0</v>
      </c>
      <c r="W10" s="30">
        <f t="shared" si="19"/>
        <v>150</v>
      </c>
      <c r="X10" s="30">
        <f t="shared" si="5"/>
        <v>400</v>
      </c>
      <c r="Y10" s="31">
        <f t="shared" si="6"/>
        <v>290.74074074074076</v>
      </c>
      <c r="Z10" s="32">
        <f t="shared" si="7"/>
        <v>19.074074074074076</v>
      </c>
      <c r="AA10" s="33"/>
      <c r="AB10" s="33"/>
      <c r="AC10" s="34">
        <f t="shared" si="8"/>
        <v>840.74074074074076</v>
      </c>
      <c r="AD10" s="35">
        <f t="shared" si="9"/>
        <v>400</v>
      </c>
      <c r="AE10" s="36">
        <f t="shared" si="10"/>
        <v>22</v>
      </c>
      <c r="AF10" s="36">
        <f t="shared" si="11"/>
        <v>528</v>
      </c>
      <c r="AG10" s="37">
        <f t="shared" si="12"/>
        <v>30.474999999999998</v>
      </c>
      <c r="AH10" s="37">
        <f t="shared" si="13"/>
        <v>49.54907407407407</v>
      </c>
      <c r="AI10" s="37">
        <f t="shared" si="14"/>
        <v>71.54907407407407</v>
      </c>
      <c r="AJ10" s="37">
        <f t="shared" si="15"/>
        <v>769.19166666666672</v>
      </c>
      <c r="AK10" s="38">
        <f t="shared" si="20"/>
        <v>52</v>
      </c>
      <c r="AL10" s="39">
        <f t="shared" si="16"/>
        <v>892.74074074074076</v>
      </c>
    </row>
    <row r="11" spans="1:40">
      <c r="N11" s="43"/>
      <c r="O11" s="43"/>
      <c r="P11" s="43"/>
      <c r="Q11" s="43"/>
      <c r="AK11" s="47">
        <f>SUM(AK7:AK10)</f>
        <v>208</v>
      </c>
    </row>
    <row r="14" spans="1:40" ht="20.25">
      <c r="E14" s="66"/>
      <c r="F14" s="72" t="s">
        <v>84</v>
      </c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</row>
    <row r="15" spans="1:40" s="6" customFormat="1" ht="51" customHeight="1">
      <c r="A15" s="14" t="s">
        <v>51</v>
      </c>
      <c r="B15" s="53" t="s">
        <v>7</v>
      </c>
      <c r="C15" s="54" t="s">
        <v>52</v>
      </c>
      <c r="D15" s="54"/>
      <c r="E15" s="67" t="s">
        <v>53</v>
      </c>
      <c r="F15" s="55" t="s">
        <v>54</v>
      </c>
      <c r="G15" s="55" t="s">
        <v>55</v>
      </c>
      <c r="H15" s="56" t="s">
        <v>56</v>
      </c>
      <c r="I15" s="56" t="s">
        <v>57</v>
      </c>
      <c r="J15" s="56" t="s">
        <v>58</v>
      </c>
      <c r="K15" s="56" t="s">
        <v>59</v>
      </c>
      <c r="L15" s="56" t="s">
        <v>60</v>
      </c>
      <c r="M15" s="69" t="s">
        <v>61</v>
      </c>
      <c r="N15" s="55" t="s">
        <v>62</v>
      </c>
      <c r="O15" s="55" t="s">
        <v>63</v>
      </c>
      <c r="P15" s="55" t="s">
        <v>64</v>
      </c>
      <c r="Q15" s="55" t="s">
        <v>65</v>
      </c>
      <c r="R15" s="56" t="s">
        <v>66</v>
      </c>
      <c r="S15" s="56" t="s">
        <v>67</v>
      </c>
      <c r="T15" s="56" t="s">
        <v>68</v>
      </c>
      <c r="U15" s="56" t="s">
        <v>69</v>
      </c>
      <c r="V15" s="56" t="s">
        <v>70</v>
      </c>
      <c r="W15" s="56" t="s">
        <v>71</v>
      </c>
      <c r="X15" s="56" t="s">
        <v>28</v>
      </c>
      <c r="Y15" s="57" t="s">
        <v>29</v>
      </c>
      <c r="Z15" s="55"/>
      <c r="AA15" s="55"/>
      <c r="AB15" s="58" t="s">
        <v>72</v>
      </c>
      <c r="AC15" s="56" t="s">
        <v>73</v>
      </c>
      <c r="AD15" s="22" t="s">
        <v>34</v>
      </c>
      <c r="AE15" s="22" t="s">
        <v>35</v>
      </c>
      <c r="AF15" s="22" t="s">
        <v>36</v>
      </c>
      <c r="AG15" s="22" t="s">
        <v>37</v>
      </c>
      <c r="AH15" s="22" t="s">
        <v>38</v>
      </c>
      <c r="AI15" s="22" t="s">
        <v>39</v>
      </c>
      <c r="AJ15" s="24" t="s">
        <v>40</v>
      </c>
      <c r="AK15" s="25" t="s">
        <v>41</v>
      </c>
    </row>
    <row r="16" spans="1:40" s="6" customFormat="1">
      <c r="A16" s="26">
        <v>1</v>
      </c>
      <c r="B16" s="42" t="s">
        <v>74</v>
      </c>
      <c r="C16" s="40" t="s">
        <v>75</v>
      </c>
      <c r="D16" s="27"/>
      <c r="E16" s="68">
        <v>27</v>
      </c>
      <c r="F16" s="59">
        <v>1200</v>
      </c>
      <c r="G16" s="59">
        <v>200</v>
      </c>
      <c r="H16" s="31">
        <f t="shared" ref="H16:H20" si="21">F16*0.15</f>
        <v>180</v>
      </c>
      <c r="I16" s="31">
        <f t="shared" ref="I16:I20" si="22">F16+G16+H16</f>
        <v>1580</v>
      </c>
      <c r="J16" s="31">
        <f>F16/E16</f>
        <v>44.444444444444443</v>
      </c>
      <c r="K16" s="31">
        <f t="shared" ref="K16:K20" si="23">J16*2</f>
        <v>88.888888888888886</v>
      </c>
      <c r="L16" s="31">
        <f t="shared" ref="L16:L20" si="24">J16*2</f>
        <v>88.888888888888886</v>
      </c>
      <c r="M16" s="70">
        <v>27</v>
      </c>
      <c r="N16" s="60">
        <v>5</v>
      </c>
      <c r="O16" s="60">
        <v>1</v>
      </c>
      <c r="P16" s="60">
        <v>0</v>
      </c>
      <c r="Q16" s="60">
        <v>0</v>
      </c>
      <c r="R16" s="31">
        <f t="shared" ref="R16:S20" si="25">M16*J16</f>
        <v>1200</v>
      </c>
      <c r="S16" s="31">
        <f t="shared" si="25"/>
        <v>444.44444444444446</v>
      </c>
      <c r="T16" s="31">
        <f t="shared" ref="T16:U20" si="26">O16*K16</f>
        <v>88.888888888888886</v>
      </c>
      <c r="U16" s="31">
        <f t="shared" si="26"/>
        <v>0</v>
      </c>
      <c r="V16" s="31">
        <f t="shared" ref="V16:V20" si="27">G16/E16*M16</f>
        <v>200</v>
      </c>
      <c r="W16" s="31">
        <f t="shared" ref="W16:W20" si="28">H16/E16*M16</f>
        <v>180</v>
      </c>
      <c r="X16" s="31">
        <f>S16+T16+U16+W16</f>
        <v>713.33333333333337</v>
      </c>
      <c r="Y16" s="32">
        <f>IF(R16&gt;1500,0,IF(X16&gt;50%*R16,(50%*R16*5%)+(X16-50%*R16)*10%,5%*X16))</f>
        <v>41.333333333333336</v>
      </c>
      <c r="Z16" s="60"/>
      <c r="AA16" s="61"/>
      <c r="AB16" s="62">
        <f>R16+S16+T16+U16+V16+W16+Z16-AA16</f>
        <v>2113.333333333333</v>
      </c>
      <c r="AC16" s="63">
        <f t="shared" ref="AC16:AC20" si="29">F16/E16*M16</f>
        <v>1200</v>
      </c>
      <c r="AD16" s="37">
        <f t="shared" ref="AD16:AD20" si="30">AC16*0.055</f>
        <v>66</v>
      </c>
      <c r="AE16" s="37">
        <f>IF(R16&lt;1500,AB16-AD16-X16,AB16-AD16)</f>
        <v>1333.9999999999995</v>
      </c>
      <c r="AF16" s="37">
        <f>IF(AE16&gt;3241,(AE16-3241)*25%+505.25,IF(AE16&gt;431,(AE16-431)*17.5%+13.5,IF(AE16&gt;331,(AE16-331)*10%+3.5,IF(AE16&gt;261,(AE16-261)*5%,0))))</f>
        <v>171.52499999999992</v>
      </c>
      <c r="AG16" s="37">
        <f>Y16+AF16</f>
        <v>212.85833333333326</v>
      </c>
      <c r="AH16" s="37">
        <f>AD16+AG16</f>
        <v>278.85833333333323</v>
      </c>
      <c r="AI16" s="37">
        <f>AB16-AH16</f>
        <v>1834.4749999999999</v>
      </c>
      <c r="AJ16" s="64">
        <f>AC16*0.13</f>
        <v>156</v>
      </c>
      <c r="AK16" s="39">
        <f>SUM(AB16+AJ16)</f>
        <v>2269.333333333333</v>
      </c>
    </row>
    <row r="17" spans="1:37" s="6" customFormat="1">
      <c r="A17" s="26">
        <v>2</v>
      </c>
      <c r="B17" s="42" t="s">
        <v>76</v>
      </c>
      <c r="C17" s="40" t="s">
        <v>77</v>
      </c>
      <c r="D17" s="27"/>
      <c r="E17" s="68">
        <v>27</v>
      </c>
      <c r="F17" s="59">
        <v>600</v>
      </c>
      <c r="G17" s="59">
        <v>150</v>
      </c>
      <c r="H17" s="31">
        <f t="shared" si="21"/>
        <v>90</v>
      </c>
      <c r="I17" s="31">
        <f t="shared" si="22"/>
        <v>840</v>
      </c>
      <c r="J17" s="31">
        <f t="shared" ref="J17:J20" si="31">F17/E17</f>
        <v>22.222222222222221</v>
      </c>
      <c r="K17" s="31">
        <f t="shared" si="23"/>
        <v>44.444444444444443</v>
      </c>
      <c r="L17" s="31">
        <f t="shared" si="24"/>
        <v>44.444444444444443</v>
      </c>
      <c r="M17" s="70">
        <v>27</v>
      </c>
      <c r="N17" s="60">
        <v>5</v>
      </c>
      <c r="O17" s="60">
        <v>0</v>
      </c>
      <c r="P17" s="60">
        <v>0</v>
      </c>
      <c r="Q17" s="60">
        <v>0</v>
      </c>
      <c r="R17" s="31">
        <f t="shared" si="25"/>
        <v>600</v>
      </c>
      <c r="S17" s="31">
        <f t="shared" si="25"/>
        <v>222.22222222222223</v>
      </c>
      <c r="T17" s="31">
        <f t="shared" si="26"/>
        <v>0</v>
      </c>
      <c r="U17" s="31">
        <f t="shared" si="26"/>
        <v>0</v>
      </c>
      <c r="V17" s="31">
        <f t="shared" si="27"/>
        <v>150</v>
      </c>
      <c r="W17" s="31">
        <f t="shared" si="28"/>
        <v>90</v>
      </c>
      <c r="X17" s="31">
        <f t="shared" ref="X17:X20" si="32">S17+T17+U17+W17</f>
        <v>312.22222222222223</v>
      </c>
      <c r="Y17" s="32">
        <f t="shared" ref="Y17:Y20" si="33">IF(R17&gt;1500,0,IF(X17&gt;50%*R17,(50%*R17*5%)+(X17-50%*R17)*10%,5%*X17))</f>
        <v>16.222222222222221</v>
      </c>
      <c r="Z17" s="60"/>
      <c r="AA17" s="61"/>
      <c r="AB17" s="62">
        <f t="shared" ref="AB17:AB20" si="34">R17+S17+T17+U17+V17+W17+Z17-AA17</f>
        <v>1062.2222222222222</v>
      </c>
      <c r="AC17" s="63">
        <f t="shared" si="29"/>
        <v>600</v>
      </c>
      <c r="AD17" s="37">
        <f t="shared" si="30"/>
        <v>33</v>
      </c>
      <c r="AE17" s="37">
        <f t="shared" ref="AE17:AE20" si="35">IF(R17&lt;1500,AB17-AD17-X17,AB17-AD17)</f>
        <v>717</v>
      </c>
      <c r="AF17" s="37">
        <f t="shared" ref="AF17:AF20" si="36">IF(AE17&gt;3241,(AE17-3241)*25%+505.25,IF(AE17&gt;431,(AE17-431)*17.5%+13.5,IF(AE17&gt;331,(AE17-331)*10%+3.5,IF(AE17&gt;261,(AE17-261)*5%,0))))</f>
        <v>63.55</v>
      </c>
      <c r="AG17" s="37">
        <f t="shared" ref="AG17:AG20" si="37">Y17+AF17</f>
        <v>79.772222222222211</v>
      </c>
      <c r="AH17" s="37">
        <f t="shared" ref="AH17:AH20" si="38">AD17+AG17</f>
        <v>112.77222222222221</v>
      </c>
      <c r="AI17" s="37">
        <f t="shared" ref="AI17:AI20" si="39">AB17-AH17</f>
        <v>949.44999999999993</v>
      </c>
      <c r="AJ17" s="64">
        <f t="shared" ref="AJ17:AJ20" si="40">AC17*0.13</f>
        <v>78</v>
      </c>
      <c r="AK17" s="39">
        <f t="shared" ref="AK17:AK20" si="41">SUM(AB17+AJ17)</f>
        <v>1140.2222222222222</v>
      </c>
    </row>
    <row r="18" spans="1:37" s="6" customFormat="1">
      <c r="A18" s="26">
        <v>4</v>
      </c>
      <c r="B18" s="27" t="s">
        <v>78</v>
      </c>
      <c r="C18" s="65" t="s">
        <v>79</v>
      </c>
      <c r="D18" s="27"/>
      <c r="E18" s="68">
        <v>27</v>
      </c>
      <c r="F18" s="59">
        <v>950</v>
      </c>
      <c r="G18" s="59">
        <v>200</v>
      </c>
      <c r="H18" s="31">
        <f t="shared" si="21"/>
        <v>142.5</v>
      </c>
      <c r="I18" s="31">
        <f t="shared" si="22"/>
        <v>1292.5</v>
      </c>
      <c r="J18" s="31">
        <f t="shared" si="31"/>
        <v>35.185185185185183</v>
      </c>
      <c r="K18" s="31">
        <f t="shared" si="23"/>
        <v>70.370370370370367</v>
      </c>
      <c r="L18" s="31">
        <f t="shared" si="24"/>
        <v>70.370370370370367</v>
      </c>
      <c r="M18" s="70">
        <v>27</v>
      </c>
      <c r="N18" s="60">
        <v>5</v>
      </c>
      <c r="O18" s="60">
        <v>0</v>
      </c>
      <c r="P18" s="60">
        <v>0</v>
      </c>
      <c r="Q18" s="60">
        <v>0</v>
      </c>
      <c r="R18" s="31">
        <f t="shared" si="25"/>
        <v>950</v>
      </c>
      <c r="S18" s="31">
        <f t="shared" si="25"/>
        <v>351.85185185185185</v>
      </c>
      <c r="T18" s="31">
        <f t="shared" si="26"/>
        <v>0</v>
      </c>
      <c r="U18" s="31">
        <f t="shared" si="26"/>
        <v>0</v>
      </c>
      <c r="V18" s="31">
        <f t="shared" si="27"/>
        <v>200</v>
      </c>
      <c r="W18" s="31">
        <f t="shared" si="28"/>
        <v>142.5</v>
      </c>
      <c r="X18" s="31">
        <f t="shared" si="32"/>
        <v>494.35185185185185</v>
      </c>
      <c r="Y18" s="32">
        <f t="shared" si="33"/>
        <v>25.685185185185183</v>
      </c>
      <c r="Z18" s="60"/>
      <c r="AA18" s="61"/>
      <c r="AB18" s="62">
        <f t="shared" si="34"/>
        <v>1644.3518518518517</v>
      </c>
      <c r="AC18" s="63">
        <f t="shared" si="29"/>
        <v>950</v>
      </c>
      <c r="AD18" s="37">
        <f t="shared" si="30"/>
        <v>52.25</v>
      </c>
      <c r="AE18" s="37">
        <f t="shared" si="35"/>
        <v>1097.75</v>
      </c>
      <c r="AF18" s="37">
        <f t="shared" si="36"/>
        <v>130.18124999999998</v>
      </c>
      <c r="AG18" s="37">
        <f t="shared" si="37"/>
        <v>155.86643518518517</v>
      </c>
      <c r="AH18" s="37">
        <f t="shared" si="38"/>
        <v>208.11643518518517</v>
      </c>
      <c r="AI18" s="37">
        <f t="shared" si="39"/>
        <v>1436.2354166666667</v>
      </c>
      <c r="AJ18" s="64">
        <f t="shared" si="40"/>
        <v>123.5</v>
      </c>
      <c r="AK18" s="39">
        <f t="shared" si="41"/>
        <v>1767.8518518518517</v>
      </c>
    </row>
    <row r="19" spans="1:37" s="6" customFormat="1">
      <c r="A19" s="26">
        <v>5</v>
      </c>
      <c r="B19" s="41" t="s">
        <v>80</v>
      </c>
      <c r="C19" s="65" t="s">
        <v>81</v>
      </c>
      <c r="D19" s="27"/>
      <c r="E19" s="68">
        <v>27</v>
      </c>
      <c r="F19" s="59">
        <v>600</v>
      </c>
      <c r="G19" s="59">
        <v>150</v>
      </c>
      <c r="H19" s="31">
        <f t="shared" si="21"/>
        <v>90</v>
      </c>
      <c r="I19" s="31">
        <f t="shared" si="22"/>
        <v>840</v>
      </c>
      <c r="J19" s="31">
        <f t="shared" si="31"/>
        <v>22.222222222222221</v>
      </c>
      <c r="K19" s="31">
        <f t="shared" si="23"/>
        <v>44.444444444444443</v>
      </c>
      <c r="L19" s="31">
        <f t="shared" si="24"/>
        <v>44.444444444444443</v>
      </c>
      <c r="M19" s="70">
        <v>27</v>
      </c>
      <c r="N19" s="60">
        <v>5</v>
      </c>
      <c r="O19" s="60">
        <v>0</v>
      </c>
      <c r="P19" s="60">
        <v>0</v>
      </c>
      <c r="Q19" s="60">
        <v>0</v>
      </c>
      <c r="R19" s="31">
        <f t="shared" si="25"/>
        <v>600</v>
      </c>
      <c r="S19" s="31">
        <f t="shared" si="25"/>
        <v>222.22222222222223</v>
      </c>
      <c r="T19" s="31">
        <f t="shared" si="26"/>
        <v>0</v>
      </c>
      <c r="U19" s="31">
        <f t="shared" si="26"/>
        <v>0</v>
      </c>
      <c r="V19" s="31">
        <f t="shared" si="27"/>
        <v>150</v>
      </c>
      <c r="W19" s="31">
        <f t="shared" si="28"/>
        <v>90</v>
      </c>
      <c r="X19" s="31">
        <f t="shared" si="32"/>
        <v>312.22222222222223</v>
      </c>
      <c r="Y19" s="32">
        <f t="shared" si="33"/>
        <v>16.222222222222221</v>
      </c>
      <c r="Z19" s="60"/>
      <c r="AA19" s="61"/>
      <c r="AB19" s="62">
        <f t="shared" si="34"/>
        <v>1062.2222222222222</v>
      </c>
      <c r="AC19" s="63">
        <f t="shared" si="29"/>
        <v>600</v>
      </c>
      <c r="AD19" s="37">
        <f t="shared" si="30"/>
        <v>33</v>
      </c>
      <c r="AE19" s="37">
        <f t="shared" si="35"/>
        <v>717</v>
      </c>
      <c r="AF19" s="37">
        <f t="shared" si="36"/>
        <v>63.55</v>
      </c>
      <c r="AG19" s="37">
        <f t="shared" si="37"/>
        <v>79.772222222222211</v>
      </c>
      <c r="AH19" s="37">
        <f t="shared" si="38"/>
        <v>112.77222222222221</v>
      </c>
      <c r="AI19" s="37">
        <f t="shared" si="39"/>
        <v>949.44999999999993</v>
      </c>
      <c r="AJ19" s="64">
        <f t="shared" si="40"/>
        <v>78</v>
      </c>
      <c r="AK19" s="39">
        <f t="shared" si="41"/>
        <v>1140.2222222222222</v>
      </c>
    </row>
    <row r="20" spans="1:37" s="6" customFormat="1">
      <c r="A20" s="26">
        <v>6</v>
      </c>
      <c r="B20" s="27" t="s">
        <v>82</v>
      </c>
      <c r="C20" s="27" t="s">
        <v>83</v>
      </c>
      <c r="D20" s="27"/>
      <c r="E20" s="68">
        <v>27</v>
      </c>
      <c r="F20" s="59">
        <v>600</v>
      </c>
      <c r="G20" s="59">
        <v>150</v>
      </c>
      <c r="H20" s="31">
        <f t="shared" si="21"/>
        <v>90</v>
      </c>
      <c r="I20" s="31">
        <f t="shared" si="22"/>
        <v>840</v>
      </c>
      <c r="J20" s="31">
        <f t="shared" si="31"/>
        <v>22.222222222222221</v>
      </c>
      <c r="K20" s="31">
        <f t="shared" si="23"/>
        <v>44.444444444444443</v>
      </c>
      <c r="L20" s="31">
        <f t="shared" si="24"/>
        <v>44.444444444444443</v>
      </c>
      <c r="M20" s="70">
        <v>27</v>
      </c>
      <c r="N20" s="60">
        <v>5</v>
      </c>
      <c r="O20" s="60">
        <v>3</v>
      </c>
      <c r="P20" s="60">
        <v>0</v>
      </c>
      <c r="Q20" s="60">
        <v>0</v>
      </c>
      <c r="R20" s="31">
        <f t="shared" si="25"/>
        <v>600</v>
      </c>
      <c r="S20" s="31">
        <f t="shared" si="25"/>
        <v>222.22222222222223</v>
      </c>
      <c r="T20" s="31">
        <f t="shared" si="26"/>
        <v>133.33333333333331</v>
      </c>
      <c r="U20" s="31">
        <f t="shared" si="26"/>
        <v>0</v>
      </c>
      <c r="V20" s="31">
        <f t="shared" si="27"/>
        <v>150</v>
      </c>
      <c r="W20" s="31">
        <f t="shared" si="28"/>
        <v>90</v>
      </c>
      <c r="X20" s="31">
        <f t="shared" si="32"/>
        <v>445.55555555555554</v>
      </c>
      <c r="Y20" s="32">
        <f t="shared" si="33"/>
        <v>29.555555555555557</v>
      </c>
      <c r="Z20" s="60"/>
      <c r="AA20" s="61"/>
      <c r="AB20" s="62">
        <f t="shared" si="34"/>
        <v>1195.5555555555554</v>
      </c>
      <c r="AC20" s="63">
        <f t="shared" si="29"/>
        <v>600</v>
      </c>
      <c r="AD20" s="37">
        <f t="shared" si="30"/>
        <v>33</v>
      </c>
      <c r="AE20" s="37">
        <f t="shared" si="35"/>
        <v>716.99999999999989</v>
      </c>
      <c r="AF20" s="37">
        <f t="shared" si="36"/>
        <v>63.549999999999976</v>
      </c>
      <c r="AG20" s="37">
        <f t="shared" si="37"/>
        <v>93.105555555555526</v>
      </c>
      <c r="AH20" s="37">
        <f t="shared" si="38"/>
        <v>126.10555555555553</v>
      </c>
      <c r="AI20" s="37">
        <f t="shared" si="39"/>
        <v>1069.4499999999998</v>
      </c>
      <c r="AJ20" s="64">
        <f t="shared" si="40"/>
        <v>78</v>
      </c>
      <c r="AK20" s="39">
        <f t="shared" si="41"/>
        <v>1273.5555555555554</v>
      </c>
    </row>
  </sheetData>
  <mergeCells count="7">
    <mergeCell ref="F14:R14"/>
    <mergeCell ref="AE2:AJ3"/>
    <mergeCell ref="F4:L4"/>
    <mergeCell ref="N4:Q4"/>
    <mergeCell ref="R4:Y4"/>
    <mergeCell ref="AD4:AL4"/>
    <mergeCell ref="F2:R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2018-09-24T15:47:13Z</dcterms:created>
  <dcterms:modified xsi:type="dcterms:W3CDTF">2018-09-25T16:55:34Z</dcterms:modified>
</cp:coreProperties>
</file>