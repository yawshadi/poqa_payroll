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40" windowHeight="9525"/>
  </bookViews>
  <sheets>
    <sheet name="redundancy payments" sheetId="4" r:id="rId1"/>
  </sheets>
  <calcPr calcId="144525"/>
</workbook>
</file>

<file path=xl/calcChain.xml><?xml version="1.0" encoding="utf-8"?>
<calcChain xmlns="http://schemas.openxmlformats.org/spreadsheetml/2006/main">
  <c r="M23" i="4" l="1"/>
  <c r="J23" i="4"/>
  <c r="I23" i="4"/>
  <c r="M22" i="4"/>
  <c r="J22" i="4"/>
  <c r="I22" i="4"/>
  <c r="K22" i="4" s="1"/>
  <c r="N22" i="4" s="1"/>
  <c r="M21" i="4"/>
  <c r="J21" i="4"/>
  <c r="I21" i="4"/>
  <c r="K21" i="4" s="1"/>
  <c r="N21" i="4" s="1"/>
  <c r="M20" i="4"/>
  <c r="J20" i="4"/>
  <c r="I20" i="4"/>
  <c r="K20" i="4" s="1"/>
  <c r="N20" i="4" s="1"/>
  <c r="M19" i="4"/>
  <c r="J19" i="4"/>
  <c r="I19" i="4"/>
  <c r="M18" i="4"/>
  <c r="J18" i="4"/>
  <c r="I18" i="4"/>
  <c r="M17" i="4"/>
  <c r="J17" i="4"/>
  <c r="I17" i="4"/>
  <c r="M16" i="4"/>
  <c r="J16" i="4"/>
  <c r="I16" i="4"/>
  <c r="K16" i="4" s="1"/>
  <c r="N16" i="4" s="1"/>
  <c r="M15" i="4"/>
  <c r="J15" i="4"/>
  <c r="I15" i="4"/>
  <c r="M14" i="4"/>
  <c r="J14" i="4"/>
  <c r="I14" i="4"/>
  <c r="K14" i="4" s="1"/>
  <c r="N14" i="4" s="1"/>
  <c r="M13" i="4"/>
  <c r="J13" i="4"/>
  <c r="I13" i="4"/>
  <c r="K13" i="4" s="1"/>
  <c r="N13" i="4" s="1"/>
  <c r="M12" i="4"/>
  <c r="J12" i="4"/>
  <c r="I12" i="4"/>
  <c r="K12" i="4" s="1"/>
  <c r="N12" i="4" s="1"/>
  <c r="M11" i="4"/>
  <c r="J11" i="4"/>
  <c r="I11" i="4"/>
  <c r="M10" i="4"/>
  <c r="J10" i="4"/>
  <c r="I10" i="4"/>
  <c r="M9" i="4"/>
  <c r="J9" i="4"/>
  <c r="I9" i="4"/>
  <c r="M8" i="4"/>
  <c r="J8" i="4"/>
  <c r="I8" i="4"/>
  <c r="K8" i="4" s="1"/>
  <c r="N8" i="4" s="1"/>
  <c r="K11" i="4" l="1"/>
  <c r="N11" i="4" s="1"/>
  <c r="K19" i="4"/>
  <c r="N19" i="4" s="1"/>
  <c r="O19" i="4" s="1"/>
  <c r="K9" i="4"/>
  <c r="N9" i="4" s="1"/>
  <c r="O9" i="4" s="1"/>
  <c r="K10" i="4"/>
  <c r="N10" i="4" s="1"/>
  <c r="K15" i="4"/>
  <c r="N15" i="4" s="1"/>
  <c r="K17" i="4"/>
  <c r="N17" i="4" s="1"/>
  <c r="K18" i="4"/>
  <c r="N18" i="4" s="1"/>
  <c r="O18" i="4" s="1"/>
  <c r="K23" i="4"/>
  <c r="N23" i="4" s="1"/>
  <c r="O23" i="4" s="1"/>
  <c r="M24" i="4"/>
  <c r="O10" i="4"/>
  <c r="O11" i="4"/>
  <c r="O12" i="4"/>
  <c r="O13" i="4"/>
  <c r="O14" i="4"/>
  <c r="O15" i="4"/>
  <c r="O16" i="4"/>
  <c r="O17" i="4"/>
  <c r="O20" i="4"/>
  <c r="O21" i="4"/>
  <c r="O22" i="4"/>
  <c r="O8" i="4"/>
  <c r="L24" i="4"/>
  <c r="J24" i="4"/>
  <c r="I24" i="4"/>
  <c r="K24" i="4" l="1"/>
  <c r="N24" i="4"/>
  <c r="O24" i="4" l="1"/>
</calcChain>
</file>

<file path=xl/sharedStrings.xml><?xml version="1.0" encoding="utf-8"?>
<sst xmlns="http://schemas.openxmlformats.org/spreadsheetml/2006/main" count="53" uniqueCount="47">
  <si>
    <t>序号</t>
  </si>
  <si>
    <t>TO CHEC</t>
  </si>
  <si>
    <t>TOTAL</t>
  </si>
  <si>
    <t>DEPARTMENT: CHEC 3 BREAKWATER</t>
  </si>
  <si>
    <t>LABOR POWER &amp;CONSULTANCY LIMITED</t>
  </si>
  <si>
    <t>TO: CHINA HARBOUR ENGINEERING COMPANY (GHANA) LIMITED</t>
  </si>
  <si>
    <t xml:space="preserve">INVOICE SUMMARY ON REDUNDANCY PAYMENTS </t>
  </si>
  <si>
    <t>APPROACH DATE</t>
  </si>
  <si>
    <t>ENDING DATE</t>
  </si>
  <si>
    <t>BASIC SALARY</t>
  </si>
  <si>
    <t>NO. OF MONTHS</t>
  </si>
  <si>
    <t>NO. OF DAYS</t>
  </si>
  <si>
    <t>MONTHS PAY</t>
  </si>
  <si>
    <t>DAYS PAY</t>
  </si>
  <si>
    <t>SEVERANCE PACKAGE</t>
  </si>
  <si>
    <t>LEAVE ENTITLEMENTS (DAYS)</t>
  </si>
  <si>
    <t>LEAVE PAYMENTS</t>
  </si>
  <si>
    <t>WELDER</t>
  </si>
  <si>
    <t>HELPER</t>
  </si>
  <si>
    <t>PERIOD: 18/06/2018</t>
  </si>
  <si>
    <t>防波堤队伍工人遣散费用名单</t>
    <phoneticPr fontId="0" type="noConversion"/>
  </si>
  <si>
    <t>NAME</t>
    <phoneticPr fontId="0" type="noConversion"/>
  </si>
  <si>
    <t xml:space="preserve"> POSITION</t>
    <phoneticPr fontId="0" type="noConversion"/>
  </si>
  <si>
    <t>DAMBA MALIK</t>
  </si>
  <si>
    <t>EXCAVATOR</t>
  </si>
  <si>
    <t>DANIELS BENJAMIN KWESI</t>
  </si>
  <si>
    <t>PICK UP Driver</t>
  </si>
  <si>
    <t>EBENEZER HANSON</t>
  </si>
  <si>
    <t xml:space="preserve"> WELDER</t>
  </si>
  <si>
    <t>NTI EBLENEZER</t>
  </si>
  <si>
    <t>FLAGMAN</t>
  </si>
  <si>
    <t>VINCENT TEYE TETTEH</t>
  </si>
  <si>
    <t>AKATSI BRIGHT</t>
  </si>
  <si>
    <t>BULLDOZER</t>
  </si>
  <si>
    <t>PROSPER AGBOTSE</t>
  </si>
  <si>
    <t>GODSWAY KWEKU</t>
    <phoneticPr fontId="0" type="noConversion"/>
  </si>
  <si>
    <t>JUSTICE OSAE</t>
    <phoneticPr fontId="0" type="noConversion"/>
  </si>
  <si>
    <t>RUBEN GADAH</t>
    <phoneticPr fontId="0" type="noConversion"/>
  </si>
  <si>
    <t>AMEGASHIE KOJO</t>
    <phoneticPr fontId="0" type="noConversion"/>
  </si>
  <si>
    <t>ARHIN GIDEON</t>
    <phoneticPr fontId="0" type="noConversion"/>
  </si>
  <si>
    <t>ABUKU DELALI WINNIE</t>
  </si>
  <si>
    <t>ENV.OFFICER</t>
  </si>
  <si>
    <t>LEONARD BAANJO-KLOGO</t>
  </si>
  <si>
    <t>SOCIAL PERFORMANCE MGR</t>
  </si>
  <si>
    <t>MATILDA KUAPAH</t>
  </si>
  <si>
    <t>SITE CLEANER</t>
  </si>
  <si>
    <t>AMEGBEDZI MARTHA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</si>
</sst>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[$-409]d\-mmm\-yy;@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indexed="8"/>
      <name val="Times New Roman"/>
      <family val="1"/>
    </font>
    <font>
      <sz val="12"/>
      <color rgb="FF000000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indexed="8"/>
      <name val="Tahoma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43" fontId="3" fillId="0" borderId="0" applyFont="0" applyFill="0" applyBorder="0" applyAlignment="0" applyProtection="0"/>
    <xf numFmtId="0" fontId="15" fillId="0" borderId="0">
      <alignment vertical="center"/>
    </xf>
  </cellStyleXfs>
  <cellXfs count="51">
    <xf numFmtId="0" fontId="0" fillId="0" borderId="0" xfId="0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5" fillId="0" borderId="0" xfId="0" applyFont="1" applyFill="1" applyBorder="1" applyAlignment="1">
      <alignment vertical="center"/>
    </xf>
    <xf numFmtId="14" fontId="5" fillId="0" borderId="0" xfId="0" applyNumberFormat="1" applyFont="1" applyFill="1" applyBorder="1" applyAlignment="1">
      <alignment horizontal="center" vertical="top"/>
    </xf>
    <xf numFmtId="14" fontId="5" fillId="0" borderId="0" xfId="0" applyNumberFormat="1" applyFont="1" applyFill="1" applyBorder="1" applyAlignment="1">
      <alignment vertical="top"/>
    </xf>
    <xf numFmtId="0" fontId="7" fillId="0" borderId="1" xfId="0" applyFont="1" applyBorder="1" applyAlignment="1">
      <alignment vertical="center" wrapText="1"/>
    </xf>
    <xf numFmtId="4" fontId="9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Fill="1" applyBorder="1" applyAlignment="1">
      <alignment horizontal="right" vertical="center"/>
    </xf>
    <xf numFmtId="4" fontId="9" fillId="0" borderId="1" xfId="0" applyNumberFormat="1" applyFont="1" applyBorder="1" applyAlignment="1">
      <alignment vertical="center"/>
    </xf>
    <xf numFmtId="4" fontId="9" fillId="0" borderId="1" xfId="0" applyNumberFormat="1" applyFont="1" applyBorder="1">
      <alignment vertical="center"/>
    </xf>
    <xf numFmtId="2" fontId="8" fillId="0" borderId="1" xfId="0" applyNumberFormat="1" applyFont="1" applyBorder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165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/>
    </xf>
    <xf numFmtId="165" fontId="13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2" fillId="0" borderId="1" xfId="0" applyFont="1" applyFill="1" applyBorder="1" applyAlignment="1">
      <alignment horizontal="left" vertical="top"/>
    </xf>
    <xf numFmtId="14" fontId="12" fillId="0" borderId="1" xfId="0" applyNumberFormat="1" applyFont="1" applyFill="1" applyBorder="1" applyAlignment="1">
      <alignment horizontal="center"/>
    </xf>
    <xf numFmtId="14" fontId="12" fillId="0" borderId="1" xfId="0" applyNumberFormat="1" applyFont="1" applyFill="1" applyBorder="1" applyAlignment="1">
      <alignment horizontal="center" vertical="center"/>
    </xf>
    <xf numFmtId="43" fontId="6" fillId="0" borderId="1" xfId="1" applyFont="1" applyFill="1" applyBorder="1" applyAlignment="1"/>
    <xf numFmtId="0" fontId="6" fillId="0" borderId="1" xfId="0" applyFont="1" applyFill="1" applyBorder="1" applyAlignment="1">
      <alignment horizontal="center" vertical="center"/>
    </xf>
    <xf numFmtId="43" fontId="6" fillId="0" borderId="1" xfId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top"/>
    </xf>
    <xf numFmtId="14" fontId="14" fillId="0" borderId="1" xfId="0" applyNumberFormat="1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/>
    </xf>
    <xf numFmtId="0" fontId="12" fillId="2" borderId="1" xfId="2" applyFont="1" applyFill="1" applyBorder="1" applyAlignment="1">
      <alignment horizontal="left" vertical="center"/>
    </xf>
    <xf numFmtId="14" fontId="12" fillId="2" borderId="1" xfId="2" applyNumberFormat="1" applyFont="1" applyFill="1" applyBorder="1" applyAlignment="1">
      <alignment horizontal="center"/>
    </xf>
    <xf numFmtId="43" fontId="14" fillId="0" borderId="1" xfId="1" applyFont="1" applyFill="1" applyBorder="1" applyAlignment="1"/>
    <xf numFmtId="0" fontId="6" fillId="2" borderId="1" xfId="0" applyFont="1" applyFill="1" applyBorder="1" applyAlignment="1">
      <alignment horizontal="left" vertical="center"/>
    </xf>
    <xf numFmtId="14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14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3">
    <cellStyle name="Comma 2 2 2" xfId="1"/>
    <cellStyle name="Normal" xfId="0" builtinId="0"/>
    <cellStyle name="常规 5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4"/>
  <sheetViews>
    <sheetView tabSelected="1" workbookViewId="0">
      <selection activeCell="M32" sqref="M32"/>
    </sheetView>
  </sheetViews>
  <sheetFormatPr defaultRowHeight="15"/>
  <cols>
    <col min="2" max="2" width="28.42578125" customWidth="1"/>
    <col min="3" max="3" width="23.42578125" customWidth="1"/>
    <col min="4" max="4" width="14.85546875" customWidth="1"/>
    <col min="5" max="5" width="16.85546875" customWidth="1"/>
    <col min="6" max="6" width="23.5703125" customWidth="1"/>
    <col min="7" max="7" width="20" customWidth="1"/>
    <col min="8" max="8" width="17.28515625" customWidth="1"/>
    <col min="9" max="9" width="17.85546875" customWidth="1"/>
    <col min="10" max="10" width="15.140625" customWidth="1"/>
    <col min="11" max="11" width="27.85546875" customWidth="1"/>
    <col min="12" max="12" width="37.7109375" customWidth="1"/>
    <col min="13" max="13" width="22.42578125" customWidth="1"/>
    <col min="14" max="14" width="16.42578125" customWidth="1"/>
    <col min="15" max="15" width="14.28515625" customWidth="1"/>
  </cols>
  <sheetData>
    <row r="1" spans="1:16">
      <c r="A1" t="s">
        <v>4</v>
      </c>
    </row>
    <row r="2" spans="1:16">
      <c r="A2" s="2" t="s">
        <v>6</v>
      </c>
    </row>
    <row r="3" spans="1:16">
      <c r="A3" t="s">
        <v>5</v>
      </c>
    </row>
    <row r="4" spans="1:16">
      <c r="A4" t="s">
        <v>3</v>
      </c>
    </row>
    <row r="5" spans="1:16">
      <c r="A5" s="14" t="s">
        <v>19</v>
      </c>
    </row>
    <row r="6" spans="1:16" ht="15.75">
      <c r="A6" s="50" t="s">
        <v>20</v>
      </c>
      <c r="B6" s="50"/>
      <c r="C6" s="50"/>
      <c r="D6" s="50"/>
      <c r="E6" s="50"/>
      <c r="F6" s="50"/>
      <c r="G6" s="50"/>
      <c r="H6" s="50"/>
      <c r="I6" s="50"/>
      <c r="J6" s="50"/>
      <c r="K6" s="15"/>
      <c r="L6" s="16"/>
      <c r="M6" s="16"/>
      <c r="N6" s="16"/>
    </row>
    <row r="7" spans="1:16" ht="106.5" customHeight="1">
      <c r="A7" s="17" t="s">
        <v>0</v>
      </c>
      <c r="B7" s="18" t="s">
        <v>21</v>
      </c>
      <c r="C7" s="19" t="s">
        <v>22</v>
      </c>
      <c r="D7" s="20" t="s">
        <v>7</v>
      </c>
      <c r="E7" s="21" t="s">
        <v>8</v>
      </c>
      <c r="F7" s="13" t="s">
        <v>9</v>
      </c>
      <c r="G7" s="22" t="s">
        <v>10</v>
      </c>
      <c r="H7" s="22" t="s">
        <v>11</v>
      </c>
      <c r="I7" s="13" t="s">
        <v>12</v>
      </c>
      <c r="J7" s="13" t="s">
        <v>13</v>
      </c>
      <c r="K7" s="13" t="s">
        <v>14</v>
      </c>
      <c r="L7" s="13" t="s">
        <v>15</v>
      </c>
      <c r="M7" s="13" t="s">
        <v>16</v>
      </c>
      <c r="N7" s="13" t="s">
        <v>2</v>
      </c>
      <c r="O7" s="6" t="s">
        <v>1</v>
      </c>
      <c r="P7" s="12"/>
    </row>
    <row r="8" spans="1:16" ht="18.75">
      <c r="A8" s="17">
        <v>1</v>
      </c>
      <c r="B8" s="23" t="s">
        <v>23</v>
      </c>
      <c r="C8" s="24" t="s">
        <v>24</v>
      </c>
      <c r="D8" s="25">
        <v>42804</v>
      </c>
      <c r="E8" s="26">
        <v>43099</v>
      </c>
      <c r="F8" s="27">
        <v>750</v>
      </c>
      <c r="G8" s="28">
        <v>9</v>
      </c>
      <c r="H8" s="28">
        <v>22</v>
      </c>
      <c r="I8" s="29">
        <f t="shared" ref="I8:I23" si="0">F8/12*G8</f>
        <v>562.5</v>
      </c>
      <c r="J8" s="29">
        <f t="shared" ref="J8:J23" si="1">F8/12/20.67*H8</f>
        <v>66.52152878567972</v>
      </c>
      <c r="K8" s="29">
        <f t="shared" ref="K8:K23" si="2">I8+J8</f>
        <v>629.02152878567972</v>
      </c>
      <c r="L8" s="28">
        <v>11</v>
      </c>
      <c r="M8" s="30">
        <f t="shared" ref="M8:M23" si="3">(F8/20.67)*L8</f>
        <v>399.12917271407832</v>
      </c>
      <c r="N8" s="30">
        <f t="shared" ref="N8:N23" si="4">SUM(K8+M8)</f>
        <v>1028.150701499758</v>
      </c>
      <c r="O8" s="11">
        <f>N8</f>
        <v>1028.150701499758</v>
      </c>
    </row>
    <row r="9" spans="1:16" ht="18.75">
      <c r="A9" s="17">
        <v>2</v>
      </c>
      <c r="B9" s="31" t="s">
        <v>25</v>
      </c>
      <c r="C9" s="32" t="s">
        <v>26</v>
      </c>
      <c r="D9" s="33">
        <v>42805</v>
      </c>
      <c r="E9" s="26">
        <v>43099</v>
      </c>
      <c r="F9" s="27">
        <v>650</v>
      </c>
      <c r="G9" s="28">
        <v>9</v>
      </c>
      <c r="H9" s="28">
        <v>21</v>
      </c>
      <c r="I9" s="29">
        <f t="shared" si="0"/>
        <v>487.5</v>
      </c>
      <c r="J9" s="29">
        <f t="shared" si="1"/>
        <v>55.031446540880495</v>
      </c>
      <c r="K9" s="29">
        <f t="shared" si="2"/>
        <v>542.53144654088055</v>
      </c>
      <c r="L9" s="28">
        <v>11</v>
      </c>
      <c r="M9" s="30">
        <f t="shared" si="3"/>
        <v>345.91194968553458</v>
      </c>
      <c r="N9" s="30">
        <f t="shared" si="4"/>
        <v>888.44339622641519</v>
      </c>
      <c r="O9" s="11">
        <f t="shared" ref="O9:O23" si="5">N9</f>
        <v>888.44339622641519</v>
      </c>
    </row>
    <row r="10" spans="1:16" ht="18.75">
      <c r="A10" s="34">
        <v>3</v>
      </c>
      <c r="B10" s="35" t="s">
        <v>27</v>
      </c>
      <c r="C10" s="32" t="s">
        <v>28</v>
      </c>
      <c r="D10" s="33">
        <v>42823</v>
      </c>
      <c r="E10" s="26">
        <v>43099</v>
      </c>
      <c r="F10" s="27">
        <v>750</v>
      </c>
      <c r="G10" s="36">
        <v>9</v>
      </c>
      <c r="H10" s="36">
        <v>3</v>
      </c>
      <c r="I10" s="29">
        <f t="shared" si="0"/>
        <v>562.5</v>
      </c>
      <c r="J10" s="29">
        <f t="shared" si="1"/>
        <v>9.0711175616835984</v>
      </c>
      <c r="K10" s="29">
        <f t="shared" si="2"/>
        <v>571.57111756168365</v>
      </c>
      <c r="L10" s="36">
        <v>11</v>
      </c>
      <c r="M10" s="30">
        <f t="shared" si="3"/>
        <v>399.12917271407832</v>
      </c>
      <c r="N10" s="30">
        <f t="shared" si="4"/>
        <v>970.70029027576197</v>
      </c>
      <c r="O10" s="11">
        <f t="shared" si="5"/>
        <v>970.70029027576197</v>
      </c>
    </row>
    <row r="11" spans="1:16" ht="18.75">
      <c r="A11" s="34">
        <v>4</v>
      </c>
      <c r="B11" s="35" t="s">
        <v>29</v>
      </c>
      <c r="C11" s="32" t="s">
        <v>30</v>
      </c>
      <c r="D11" s="33">
        <v>42741</v>
      </c>
      <c r="E11" s="26">
        <v>43099</v>
      </c>
      <c r="F11" s="27">
        <v>450</v>
      </c>
      <c r="G11" s="36">
        <v>11</v>
      </c>
      <c r="H11" s="36">
        <v>26</v>
      </c>
      <c r="I11" s="29">
        <f t="shared" si="0"/>
        <v>412.5</v>
      </c>
      <c r="J11" s="29">
        <f t="shared" si="1"/>
        <v>47.169811320754711</v>
      </c>
      <c r="K11" s="29">
        <f t="shared" si="2"/>
        <v>459.66981132075472</v>
      </c>
      <c r="L11" s="36">
        <v>14</v>
      </c>
      <c r="M11" s="30">
        <f t="shared" si="3"/>
        <v>304.78955007256894</v>
      </c>
      <c r="N11" s="30">
        <f t="shared" si="4"/>
        <v>764.45936139332366</v>
      </c>
      <c r="O11" s="11">
        <f t="shared" si="5"/>
        <v>764.45936139332366</v>
      </c>
    </row>
    <row r="12" spans="1:16" ht="18.75">
      <c r="A12" s="37">
        <v>5</v>
      </c>
      <c r="B12" s="35" t="s">
        <v>31</v>
      </c>
      <c r="C12" s="32" t="s">
        <v>30</v>
      </c>
      <c r="D12" s="33">
        <v>42669</v>
      </c>
      <c r="E12" s="26">
        <v>43099</v>
      </c>
      <c r="F12" s="27">
        <v>450</v>
      </c>
      <c r="G12" s="37">
        <v>14</v>
      </c>
      <c r="H12" s="37">
        <v>6</v>
      </c>
      <c r="I12" s="29">
        <f t="shared" si="0"/>
        <v>525</v>
      </c>
      <c r="J12" s="29">
        <f t="shared" si="1"/>
        <v>10.885341074020317</v>
      </c>
      <c r="K12" s="29">
        <f t="shared" si="2"/>
        <v>535.88534107402029</v>
      </c>
      <c r="L12" s="37">
        <v>17</v>
      </c>
      <c r="M12" s="30">
        <f t="shared" si="3"/>
        <v>370.10159651669085</v>
      </c>
      <c r="N12" s="30">
        <f t="shared" si="4"/>
        <v>905.98693759071114</v>
      </c>
      <c r="O12" s="11">
        <f t="shared" si="5"/>
        <v>905.98693759071114</v>
      </c>
    </row>
    <row r="13" spans="1:16" ht="18.75">
      <c r="A13" s="17">
        <v>7</v>
      </c>
      <c r="B13" s="35" t="s">
        <v>32</v>
      </c>
      <c r="C13" s="32" t="s">
        <v>33</v>
      </c>
      <c r="D13" s="38">
        <v>42917</v>
      </c>
      <c r="E13" s="26">
        <v>43099</v>
      </c>
      <c r="F13" s="27">
        <v>750</v>
      </c>
      <c r="G13" s="36">
        <v>6</v>
      </c>
      <c r="H13" s="36">
        <v>0</v>
      </c>
      <c r="I13" s="29">
        <f t="shared" si="0"/>
        <v>375</v>
      </c>
      <c r="J13" s="29">
        <f t="shared" si="1"/>
        <v>0</v>
      </c>
      <c r="K13" s="29">
        <f t="shared" si="2"/>
        <v>375</v>
      </c>
      <c r="L13" s="36">
        <v>7</v>
      </c>
      <c r="M13" s="30">
        <f t="shared" si="3"/>
        <v>253.99129172714075</v>
      </c>
      <c r="N13" s="30">
        <f t="shared" si="4"/>
        <v>628.99129172714072</v>
      </c>
      <c r="O13" s="11">
        <f t="shared" si="5"/>
        <v>628.99129172714072</v>
      </c>
    </row>
    <row r="14" spans="1:16" ht="18.75">
      <c r="A14" s="34">
        <v>9</v>
      </c>
      <c r="B14" s="39" t="s">
        <v>34</v>
      </c>
      <c r="C14" s="39" t="s">
        <v>17</v>
      </c>
      <c r="D14" s="40">
        <v>42847</v>
      </c>
      <c r="E14" s="26">
        <v>43099</v>
      </c>
      <c r="F14" s="41">
        <v>750</v>
      </c>
      <c r="G14" s="34">
        <v>8</v>
      </c>
      <c r="H14" s="34">
        <v>9</v>
      </c>
      <c r="I14" s="29">
        <f t="shared" si="0"/>
        <v>500</v>
      </c>
      <c r="J14" s="29">
        <f t="shared" si="1"/>
        <v>27.213352685050797</v>
      </c>
      <c r="K14" s="29">
        <f t="shared" si="2"/>
        <v>527.21335268505084</v>
      </c>
      <c r="L14" s="34">
        <v>10</v>
      </c>
      <c r="M14" s="30">
        <f t="shared" si="3"/>
        <v>362.84470246734395</v>
      </c>
      <c r="N14" s="30">
        <f t="shared" si="4"/>
        <v>890.05805515239479</v>
      </c>
      <c r="O14" s="11">
        <f t="shared" si="5"/>
        <v>890.05805515239479</v>
      </c>
    </row>
    <row r="15" spans="1:16" ht="18.75">
      <c r="A15" s="34">
        <v>10</v>
      </c>
      <c r="B15" s="42" t="s">
        <v>35</v>
      </c>
      <c r="C15" s="42" t="s">
        <v>18</v>
      </c>
      <c r="D15" s="43">
        <v>42852</v>
      </c>
      <c r="E15" s="26">
        <v>43099</v>
      </c>
      <c r="F15" s="41">
        <v>450</v>
      </c>
      <c r="G15" s="34">
        <v>8</v>
      </c>
      <c r="H15" s="34">
        <v>4</v>
      </c>
      <c r="I15" s="29">
        <f t="shared" si="0"/>
        <v>300</v>
      </c>
      <c r="J15" s="29">
        <f t="shared" si="1"/>
        <v>7.2568940493468785</v>
      </c>
      <c r="K15" s="29">
        <f t="shared" si="2"/>
        <v>307.2568940493469</v>
      </c>
      <c r="L15" s="34">
        <v>10</v>
      </c>
      <c r="M15" s="30">
        <f t="shared" si="3"/>
        <v>217.70682148040638</v>
      </c>
      <c r="N15" s="30">
        <f t="shared" si="4"/>
        <v>524.96371552975324</v>
      </c>
      <c r="O15" s="11">
        <f t="shared" si="5"/>
        <v>524.96371552975324</v>
      </c>
    </row>
    <row r="16" spans="1:16" ht="18.75">
      <c r="A16" s="37">
        <v>11</v>
      </c>
      <c r="B16" s="42" t="s">
        <v>36</v>
      </c>
      <c r="C16" s="42" t="s">
        <v>18</v>
      </c>
      <c r="D16" s="43">
        <v>42741</v>
      </c>
      <c r="E16" s="26">
        <v>43099</v>
      </c>
      <c r="F16" s="41">
        <v>450</v>
      </c>
      <c r="G16" s="36">
        <v>11</v>
      </c>
      <c r="H16" s="36">
        <v>26</v>
      </c>
      <c r="I16" s="29">
        <f t="shared" si="0"/>
        <v>412.5</v>
      </c>
      <c r="J16" s="29">
        <f t="shared" si="1"/>
        <v>47.169811320754711</v>
      </c>
      <c r="K16" s="29">
        <f t="shared" si="2"/>
        <v>459.66981132075472</v>
      </c>
      <c r="L16" s="36">
        <v>14</v>
      </c>
      <c r="M16" s="30">
        <f t="shared" si="3"/>
        <v>304.78955007256894</v>
      </c>
      <c r="N16" s="30">
        <f t="shared" si="4"/>
        <v>764.45936139332366</v>
      </c>
      <c r="O16" s="11">
        <f t="shared" si="5"/>
        <v>764.45936139332366</v>
      </c>
    </row>
    <row r="17" spans="1:15" ht="18.75">
      <c r="A17" s="34">
        <v>12</v>
      </c>
      <c r="B17" s="42" t="s">
        <v>37</v>
      </c>
      <c r="C17" s="42" t="s">
        <v>18</v>
      </c>
      <c r="D17" s="43">
        <v>42840</v>
      </c>
      <c r="E17" s="26">
        <v>43099</v>
      </c>
      <c r="F17" s="41">
        <v>450</v>
      </c>
      <c r="G17" s="36">
        <v>8</v>
      </c>
      <c r="H17" s="36">
        <v>16</v>
      </c>
      <c r="I17" s="29">
        <f t="shared" si="0"/>
        <v>300</v>
      </c>
      <c r="J17" s="29">
        <f t="shared" si="1"/>
        <v>29.027576197387514</v>
      </c>
      <c r="K17" s="29">
        <f t="shared" si="2"/>
        <v>329.02757619738753</v>
      </c>
      <c r="L17" s="36">
        <v>10</v>
      </c>
      <c r="M17" s="30">
        <f t="shared" si="3"/>
        <v>217.70682148040638</v>
      </c>
      <c r="N17" s="30">
        <f t="shared" si="4"/>
        <v>546.73439767779394</v>
      </c>
      <c r="O17" s="11">
        <f t="shared" si="5"/>
        <v>546.73439767779394</v>
      </c>
    </row>
    <row r="18" spans="1:15" ht="18.75">
      <c r="A18" s="17">
        <v>13</v>
      </c>
      <c r="B18" s="42" t="s">
        <v>38</v>
      </c>
      <c r="C18" s="42" t="s">
        <v>18</v>
      </c>
      <c r="D18" s="43">
        <v>42831</v>
      </c>
      <c r="E18" s="26">
        <v>43099</v>
      </c>
      <c r="F18" s="41">
        <v>450</v>
      </c>
      <c r="G18" s="44">
        <v>8</v>
      </c>
      <c r="H18" s="44">
        <v>25</v>
      </c>
      <c r="I18" s="29">
        <f t="shared" si="0"/>
        <v>300</v>
      </c>
      <c r="J18" s="29">
        <f t="shared" si="1"/>
        <v>45.355587808417994</v>
      </c>
      <c r="K18" s="29">
        <f t="shared" si="2"/>
        <v>345.35558780841802</v>
      </c>
      <c r="L18" s="44">
        <v>10</v>
      </c>
      <c r="M18" s="30">
        <f t="shared" si="3"/>
        <v>217.70682148040638</v>
      </c>
      <c r="N18" s="30">
        <f t="shared" si="4"/>
        <v>563.06240928882437</v>
      </c>
      <c r="O18" s="11">
        <f t="shared" si="5"/>
        <v>563.06240928882437</v>
      </c>
    </row>
    <row r="19" spans="1:15" s="1" customFormat="1" ht="18.75">
      <c r="A19" s="17">
        <v>14</v>
      </c>
      <c r="B19" s="42" t="s">
        <v>39</v>
      </c>
      <c r="C19" s="42" t="s">
        <v>18</v>
      </c>
      <c r="D19" s="43">
        <v>42683</v>
      </c>
      <c r="E19" s="26">
        <v>43099</v>
      </c>
      <c r="F19" s="41">
        <v>450</v>
      </c>
      <c r="G19" s="28">
        <v>13</v>
      </c>
      <c r="H19" s="28">
        <v>22</v>
      </c>
      <c r="I19" s="29">
        <f t="shared" si="0"/>
        <v>487.5</v>
      </c>
      <c r="J19" s="29">
        <f t="shared" si="1"/>
        <v>39.912917271407835</v>
      </c>
      <c r="K19" s="29">
        <f t="shared" si="2"/>
        <v>527.41291727140788</v>
      </c>
      <c r="L19" s="28">
        <v>16</v>
      </c>
      <c r="M19" s="30">
        <f t="shared" si="3"/>
        <v>348.33091436865021</v>
      </c>
      <c r="N19" s="30">
        <f t="shared" si="4"/>
        <v>875.74383164005803</v>
      </c>
      <c r="O19" s="11">
        <f t="shared" si="5"/>
        <v>875.74383164005803</v>
      </c>
    </row>
    <row r="20" spans="1:15" s="1" customFormat="1" ht="18.75">
      <c r="A20" s="34">
        <v>15</v>
      </c>
      <c r="B20" s="45" t="s">
        <v>40</v>
      </c>
      <c r="C20" s="46" t="s">
        <v>41</v>
      </c>
      <c r="D20" s="47">
        <v>42590</v>
      </c>
      <c r="E20" s="26">
        <v>43099</v>
      </c>
      <c r="F20" s="41">
        <v>1150</v>
      </c>
      <c r="G20" s="28">
        <v>14</v>
      </c>
      <c r="H20" s="28">
        <v>24</v>
      </c>
      <c r="I20" s="29">
        <f t="shared" si="0"/>
        <v>1341.6666666666665</v>
      </c>
      <c r="J20" s="29">
        <f t="shared" si="1"/>
        <v>111.27237542331881</v>
      </c>
      <c r="K20" s="29">
        <f t="shared" si="2"/>
        <v>1452.9390420899854</v>
      </c>
      <c r="L20" s="28">
        <v>12</v>
      </c>
      <c r="M20" s="30">
        <f t="shared" si="3"/>
        <v>667.63425253991284</v>
      </c>
      <c r="N20" s="30">
        <f t="shared" si="4"/>
        <v>2120.5732946298981</v>
      </c>
      <c r="O20" s="11">
        <f t="shared" si="5"/>
        <v>2120.5732946298981</v>
      </c>
    </row>
    <row r="21" spans="1:15" ht="41.25" customHeight="1">
      <c r="A21" s="34">
        <v>16</v>
      </c>
      <c r="B21" s="46" t="s">
        <v>42</v>
      </c>
      <c r="C21" s="48" t="s">
        <v>43</v>
      </c>
      <c r="D21" s="49">
        <v>42614</v>
      </c>
      <c r="E21" s="26">
        <v>43099</v>
      </c>
      <c r="F21" s="41">
        <v>1750</v>
      </c>
      <c r="G21" s="28">
        <v>14</v>
      </c>
      <c r="H21" s="28">
        <v>0</v>
      </c>
      <c r="I21" s="29">
        <f t="shared" si="0"/>
        <v>2041.6666666666667</v>
      </c>
      <c r="J21" s="29">
        <f t="shared" si="1"/>
        <v>0</v>
      </c>
      <c r="K21" s="29">
        <f t="shared" si="2"/>
        <v>2041.6666666666667</v>
      </c>
      <c r="L21" s="28">
        <v>17</v>
      </c>
      <c r="M21" s="30">
        <f t="shared" si="3"/>
        <v>1439.2839864537978</v>
      </c>
      <c r="N21" s="30">
        <f t="shared" si="4"/>
        <v>3480.9506531204643</v>
      </c>
      <c r="O21" s="11">
        <f t="shared" si="5"/>
        <v>3480.9506531204643</v>
      </c>
    </row>
    <row r="22" spans="1:15" ht="18.75">
      <c r="A22" s="37">
        <v>17</v>
      </c>
      <c r="B22" s="46" t="s">
        <v>44</v>
      </c>
      <c r="C22" s="46" t="s">
        <v>45</v>
      </c>
      <c r="D22" s="49">
        <v>42805</v>
      </c>
      <c r="E22" s="26">
        <v>43099</v>
      </c>
      <c r="F22" s="41">
        <v>350</v>
      </c>
      <c r="G22" s="28">
        <v>9</v>
      </c>
      <c r="H22" s="28">
        <v>21</v>
      </c>
      <c r="I22" s="29">
        <f t="shared" si="0"/>
        <v>262.5</v>
      </c>
      <c r="J22" s="29">
        <f t="shared" si="1"/>
        <v>29.632317368166422</v>
      </c>
      <c r="K22" s="29">
        <f t="shared" si="2"/>
        <v>292.13231736816641</v>
      </c>
      <c r="L22" s="28">
        <v>11</v>
      </c>
      <c r="M22" s="30">
        <f t="shared" si="3"/>
        <v>186.26028059990324</v>
      </c>
      <c r="N22" s="30">
        <f t="shared" si="4"/>
        <v>478.39259796806965</v>
      </c>
      <c r="O22" s="11">
        <f t="shared" si="5"/>
        <v>478.39259796806965</v>
      </c>
    </row>
    <row r="23" spans="1:15" ht="18.75">
      <c r="A23" s="34">
        <v>18</v>
      </c>
      <c r="B23" s="46" t="s">
        <v>46</v>
      </c>
      <c r="C23" s="46" t="s">
        <v>41</v>
      </c>
      <c r="D23" s="49">
        <v>42775</v>
      </c>
      <c r="E23" s="26">
        <v>43099</v>
      </c>
      <c r="F23" s="41">
        <v>1150</v>
      </c>
      <c r="G23" s="28">
        <v>10</v>
      </c>
      <c r="H23" s="28">
        <v>20</v>
      </c>
      <c r="I23" s="29">
        <f t="shared" si="0"/>
        <v>958.33333333333326</v>
      </c>
      <c r="J23" s="29">
        <f t="shared" si="1"/>
        <v>92.726979519432348</v>
      </c>
      <c r="K23" s="29">
        <f t="shared" si="2"/>
        <v>1051.0603128527655</v>
      </c>
      <c r="L23" s="28">
        <v>10</v>
      </c>
      <c r="M23" s="30">
        <f t="shared" si="3"/>
        <v>556.36187711659409</v>
      </c>
      <c r="N23" s="30">
        <f t="shared" si="4"/>
        <v>1607.4221899693596</v>
      </c>
      <c r="O23" s="11">
        <f t="shared" si="5"/>
        <v>1607.4221899693596</v>
      </c>
    </row>
    <row r="24" spans="1:15" ht="20.25">
      <c r="A24" s="3"/>
      <c r="B24" s="3"/>
      <c r="C24" s="3"/>
      <c r="D24" s="3"/>
      <c r="E24" s="4"/>
      <c r="F24" s="5"/>
      <c r="G24" s="4"/>
      <c r="H24" s="5"/>
      <c r="I24" s="7">
        <f t="shared" ref="I24:O24" si="6">SUM(I8:I23)</f>
        <v>9829.1666666666661</v>
      </c>
      <c r="J24" s="8">
        <f t="shared" si="6"/>
        <v>618.24705692630221</v>
      </c>
      <c r="K24" s="9">
        <f t="shared" si="6"/>
        <v>10447.413723592968</v>
      </c>
      <c r="L24" s="7">
        <f t="shared" si="6"/>
        <v>191</v>
      </c>
      <c r="M24" s="10">
        <f t="shared" si="6"/>
        <v>6591.6787614900813</v>
      </c>
      <c r="N24" s="10">
        <f t="shared" si="6"/>
        <v>17039.092485083049</v>
      </c>
      <c r="O24" s="10">
        <f t="shared" si="6"/>
        <v>17039.092485083049</v>
      </c>
    </row>
  </sheetData>
  <mergeCells count="1">
    <mergeCell ref="A6:J6"/>
  </mergeCells>
  <pageMargins left="0.7" right="0.7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redundancy payments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David@laborpowerltd</cp:lastModifiedBy>
  <cp:lastPrinted>2018-05-29T10:08:27Z</cp:lastPrinted>
  <dcterms:created xsi:type="dcterms:W3CDTF">2018-02-27T11:14:00Z</dcterms:created>
  <dcterms:modified xsi:type="dcterms:W3CDTF">2018-09-04T15:48:26Z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2052-10.1.0.7311</vt:lpwstr>
  </property>
  <property fmtid="{D5CDD505-2E9C-101B-9397-08002B2CF9AE}" pid="3" name="KSOReadingLayout">
    <vt:bool>true</vt:bool>
  </property>
</Properties>
</file>