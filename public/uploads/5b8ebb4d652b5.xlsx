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/>
  <bookViews>
    <workbookView xWindow="0" yWindow="0" windowWidth="19440" windowHeight="9225" activeTab="3"/>
  </bookViews>
  <sheets>
    <sheet name="chec 1 EOS" sheetId="6" r:id="rId1"/>
    <sheet name="CHEC 5 EOS " sheetId="12" r:id="rId2"/>
    <sheet name="CHEC 3 EOS" sheetId="14" r:id="rId3"/>
    <sheet name="CHEC 7 EOS" sheetId="19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9" l="1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9" i="19"/>
  <c r="M24" i="19"/>
  <c r="J24" i="19"/>
  <c r="I24" i="19"/>
  <c r="K24" i="19" s="1"/>
  <c r="M23" i="19"/>
  <c r="J23" i="19"/>
  <c r="I23" i="19"/>
  <c r="K23" i="19" s="1"/>
  <c r="N23" i="19" s="1"/>
  <c r="M22" i="19"/>
  <c r="J22" i="19"/>
  <c r="I22" i="19"/>
  <c r="K22" i="19" s="1"/>
  <c r="N22" i="19" s="1"/>
  <c r="M21" i="19"/>
  <c r="J21" i="19"/>
  <c r="I21" i="19"/>
  <c r="K21" i="19" s="1"/>
  <c r="N21" i="19" s="1"/>
  <c r="M20" i="19"/>
  <c r="J20" i="19"/>
  <c r="I20" i="19"/>
  <c r="K20" i="19" s="1"/>
  <c r="N20" i="19" s="1"/>
  <c r="M19" i="19"/>
  <c r="J19" i="19"/>
  <c r="I19" i="19"/>
  <c r="M18" i="19"/>
  <c r="J18" i="19"/>
  <c r="I18" i="19"/>
  <c r="M17" i="19"/>
  <c r="J17" i="19"/>
  <c r="I17" i="19"/>
  <c r="K17" i="19" s="1"/>
  <c r="N17" i="19" s="1"/>
  <c r="M16" i="19"/>
  <c r="J16" i="19"/>
  <c r="I16" i="19"/>
  <c r="K16" i="19" s="1"/>
  <c r="M15" i="19"/>
  <c r="J15" i="19"/>
  <c r="I15" i="19"/>
  <c r="K15" i="19" s="1"/>
  <c r="N15" i="19" s="1"/>
  <c r="M14" i="19"/>
  <c r="J14" i="19"/>
  <c r="I14" i="19"/>
  <c r="K14" i="19" s="1"/>
  <c r="N14" i="19" s="1"/>
  <c r="M13" i="19"/>
  <c r="J13" i="19"/>
  <c r="I13" i="19"/>
  <c r="K13" i="19" s="1"/>
  <c r="N13" i="19" s="1"/>
  <c r="M12" i="19"/>
  <c r="J12" i="19"/>
  <c r="I12" i="19"/>
  <c r="K12" i="19" s="1"/>
  <c r="N12" i="19" s="1"/>
  <c r="M11" i="19"/>
  <c r="J11" i="19"/>
  <c r="I11" i="19"/>
  <c r="M10" i="19"/>
  <c r="J10" i="19"/>
  <c r="I10" i="19"/>
  <c r="M9" i="19"/>
  <c r="J9" i="19"/>
  <c r="I9" i="19"/>
  <c r="K9" i="19" s="1"/>
  <c r="N9" i="19" s="1"/>
  <c r="O8" i="14"/>
  <c r="M8" i="14"/>
  <c r="J8" i="14"/>
  <c r="I8" i="14"/>
  <c r="K8" i="14" s="1"/>
  <c r="N8" i="14" s="1"/>
  <c r="K10" i="19" l="1"/>
  <c r="N10" i="19" s="1"/>
  <c r="N25" i="19" s="1"/>
  <c r="K18" i="19"/>
  <c r="N18" i="19" s="1"/>
  <c r="N16" i="19"/>
  <c r="N24" i="19"/>
  <c r="K11" i="19"/>
  <c r="N11" i="19" s="1"/>
  <c r="K19" i="19"/>
  <c r="N19" i="19" s="1"/>
  <c r="O9" i="12"/>
  <c r="O10" i="12"/>
  <c r="O8" i="12"/>
  <c r="M9" i="12"/>
  <c r="J9" i="12"/>
  <c r="I9" i="12"/>
  <c r="K9" i="12" s="1"/>
  <c r="N9" i="12" s="1"/>
  <c r="M8" i="12"/>
  <c r="J8" i="12"/>
  <c r="I8" i="12"/>
  <c r="K8" i="12" s="1"/>
  <c r="N8" i="12" s="1"/>
  <c r="N10" i="12" s="1"/>
  <c r="O13" i="6"/>
  <c r="O10" i="6"/>
  <c r="O11" i="6"/>
  <c r="O12" i="6"/>
  <c r="O9" i="6"/>
  <c r="M12" i="6" l="1"/>
  <c r="J12" i="6"/>
  <c r="I12" i="6"/>
  <c r="K12" i="6" s="1"/>
  <c r="N12" i="6" s="1"/>
  <c r="M11" i="6"/>
  <c r="J11" i="6"/>
  <c r="I11" i="6"/>
  <c r="K11" i="6" s="1"/>
  <c r="N11" i="6" s="1"/>
  <c r="M10" i="6"/>
  <c r="K10" i="6"/>
  <c r="N10" i="6" s="1"/>
  <c r="J10" i="6"/>
  <c r="I10" i="6"/>
  <c r="M9" i="6"/>
  <c r="J9" i="6"/>
  <c r="I9" i="6"/>
  <c r="K9" i="6" s="1"/>
  <c r="N9" i="6" s="1"/>
  <c r="N13" i="6" l="1"/>
</calcChain>
</file>

<file path=xl/sharedStrings.xml><?xml version="1.0" encoding="utf-8"?>
<sst xmlns="http://schemas.openxmlformats.org/spreadsheetml/2006/main" count="126" uniqueCount="52">
  <si>
    <t>JEFFREY J JONES</t>
  </si>
  <si>
    <t>TRANSLATOR</t>
  </si>
  <si>
    <t>AZAGLO WISDOM</t>
  </si>
  <si>
    <t>PAINSTIL MICHEAL KOFI</t>
  </si>
  <si>
    <t xml:space="preserve"> HELPER</t>
  </si>
  <si>
    <t>GEORGE SARPONG</t>
  </si>
  <si>
    <t>HARRISON SAMUEL DOKU</t>
  </si>
  <si>
    <t>RIGGER</t>
  </si>
  <si>
    <t>DANIEL DJAN OTOPAH</t>
  </si>
  <si>
    <t>CARPENTER</t>
  </si>
  <si>
    <t>OKAI WILFRED ARMAH</t>
  </si>
  <si>
    <t>ANTHONY TAGBORLO</t>
  </si>
  <si>
    <t>WELDER</t>
  </si>
  <si>
    <t>ISAAC HEMANS</t>
  </si>
  <si>
    <t>HELPER</t>
  </si>
  <si>
    <t>SAMUEL ADIKU</t>
  </si>
  <si>
    <t>SAMUEL ACKAH</t>
  </si>
  <si>
    <t>DAVID ATINGA</t>
  </si>
  <si>
    <t>KWAO SEKYI BENTI</t>
  </si>
  <si>
    <t>序号</t>
  </si>
  <si>
    <t>NAME</t>
    <phoneticPr fontId="1" type="noConversion"/>
  </si>
  <si>
    <t xml:space="preserve"> POSITION</t>
    <phoneticPr fontId="1" type="noConversion"/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</si>
  <si>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</si>
  <si>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</si>
  <si>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</si>
  <si>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</si>
  <si>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</si>
  <si>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</si>
  <si>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</si>
  <si>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</si>
  <si>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</si>
  <si>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</si>
  <si>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TOTAL</t>
  </si>
  <si>
    <t>FREDERICK KWOFIE</t>
  </si>
  <si>
    <t>TECHNICAL OFFIER</t>
  </si>
  <si>
    <t>THERESA ASIAMAH</t>
  </si>
  <si>
    <t>CLEANER</t>
  </si>
  <si>
    <t>NAKI  HELENA TETTEH</t>
  </si>
  <si>
    <t>ESTHER NINSON</t>
  </si>
  <si>
    <t>TIPPER DRIVER</t>
  </si>
  <si>
    <t>OUMAR YOUNOUSSAH</t>
  </si>
  <si>
    <t>TECHNICAL OFFICER</t>
  </si>
  <si>
    <t>LABOR POWER &amp;CONSULTANCY LIMITED</t>
  </si>
  <si>
    <t>TO: CHINA HARBOUR ENGINEERING COMPANY (GHANA) LIMITED</t>
  </si>
  <si>
    <t>PERIOD: 22/06/2018</t>
  </si>
  <si>
    <t>DEPARTMENT: CHEC 1-LB</t>
  </si>
  <si>
    <t>INVOICE SUMMARY ON END OF SERVICE PAYMENTS -2018</t>
  </si>
  <si>
    <t>TO CHEC</t>
  </si>
  <si>
    <t>DEPARTMENT: CHEC 5-LB</t>
  </si>
  <si>
    <t>DEPARTMENT: CHEC 3-LB</t>
  </si>
  <si>
    <t>INVOICE SUMMARY  OF END OF SERVICE PAYMENTS -2018</t>
  </si>
  <si>
    <t>DEPARTMENT: CHEC 7-LB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</si>
</sst>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/>
    <xf numFmtId="43" fontId="2" fillId="0" borderId="1" xfId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4" fontId="3" fillId="0" borderId="1" xfId="0" applyNumberFormat="1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4" fontId="5" fillId="0" borderId="1" xfId="0" applyNumberFormat="1" applyFont="1" applyFill="1" applyBorder="1" applyAlignment="1">
      <alignment vertical="center"/>
    </xf>
    <xf numFmtId="4" fontId="8" fillId="0" borderId="1" xfId="0" applyNumberFormat="1" applyFont="1" applyBorder="1"/>
    <xf numFmtId="4" fontId="2" fillId="0" borderId="1" xfId="0" applyNumberFormat="1" applyFont="1" applyBorder="1"/>
    <xf numFmtId="2" fontId="0" fillId="0" borderId="1" xfId="0" applyNumberFormat="1" applyBorder="1"/>
  </cellXfs>
  <cellStyles count="2">
    <cellStyle name="Comma 2 2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B5" sqref="B5"/>
    </sheetView>
  </sheetViews>
  <sheetFormatPr defaultRowHeight="15" x14ac:dyDescent="0.25"/>
  <cols>
    <col min="2" max="2" width="27.140625" customWidth="1"/>
    <col min="3" max="3" width="22.85546875" customWidth="1"/>
    <col min="4" max="4" width="22.42578125" customWidth="1"/>
    <col min="5" max="5" width="18.28515625" customWidth="1"/>
    <col min="6" max="6" width="18" customWidth="1"/>
    <col min="7" max="7" width="19.42578125" customWidth="1"/>
    <col min="8" max="8" width="15.7109375" customWidth="1"/>
    <col min="9" max="9" width="17.140625" customWidth="1"/>
    <col min="10" max="10" width="15.7109375" customWidth="1"/>
    <col min="11" max="11" width="26.140625" customWidth="1"/>
    <col min="12" max="12" width="37.5703125" customWidth="1"/>
    <col min="13" max="13" width="24.140625" customWidth="1"/>
    <col min="15" max="15" width="11.140625" customWidth="1"/>
  </cols>
  <sheetData>
    <row r="1" spans="1:15" x14ac:dyDescent="0.25">
      <c r="A1" s="6" t="s">
        <v>42</v>
      </c>
    </row>
    <row r="2" spans="1:15" x14ac:dyDescent="0.25">
      <c r="A2" s="20" t="s">
        <v>46</v>
      </c>
    </row>
    <row r="3" spans="1:15" x14ac:dyDescent="0.25">
      <c r="A3" s="6" t="s">
        <v>43</v>
      </c>
    </row>
    <row r="4" spans="1:15" x14ac:dyDescent="0.25">
      <c r="A4" s="6" t="s">
        <v>45</v>
      </c>
    </row>
    <row r="5" spans="1:15" x14ac:dyDescent="0.25">
      <c r="A5" s="20" t="s">
        <v>44</v>
      </c>
    </row>
    <row r="8" spans="1:15" ht="18.75" x14ac:dyDescent="0.25">
      <c r="A8" s="1" t="s">
        <v>19</v>
      </c>
      <c r="B8" s="2" t="s">
        <v>20</v>
      </c>
      <c r="C8" s="2" t="s">
        <v>21</v>
      </c>
      <c r="D8" s="2" t="s">
        <v>22</v>
      </c>
      <c r="E8" s="3" t="s">
        <v>23</v>
      </c>
      <c r="F8" s="2" t="s">
        <v>24</v>
      </c>
      <c r="G8" s="4" t="s">
        <v>25</v>
      </c>
      <c r="H8" s="4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5" t="s">
        <v>31</v>
      </c>
      <c r="N8" s="5" t="s">
        <v>32</v>
      </c>
      <c r="O8" s="5" t="s">
        <v>47</v>
      </c>
    </row>
    <row r="9" spans="1:15" ht="18.75" x14ac:dyDescent="0.3">
      <c r="A9" s="7">
        <v>1</v>
      </c>
      <c r="B9" s="8" t="s">
        <v>33</v>
      </c>
      <c r="C9" s="8" t="s">
        <v>34</v>
      </c>
      <c r="D9" s="9">
        <v>43062</v>
      </c>
      <c r="E9" s="10">
        <v>43251</v>
      </c>
      <c r="F9" s="11">
        <v>1050</v>
      </c>
      <c r="G9" s="7">
        <v>6</v>
      </c>
      <c r="H9" s="7">
        <v>8</v>
      </c>
      <c r="I9" s="12">
        <f t="shared" ref="I9:I12" si="0">F9/12*G9</f>
        <v>525</v>
      </c>
      <c r="J9" s="12">
        <f t="shared" ref="J9:J12" si="1">F9/12/20.67*H9</f>
        <v>33.865505563618768</v>
      </c>
      <c r="K9" s="12">
        <f t="shared" ref="K9:K12" si="2">I9+J9</f>
        <v>558.86550556361874</v>
      </c>
      <c r="L9" s="7">
        <v>8</v>
      </c>
      <c r="M9" s="13">
        <f t="shared" ref="M9:M12" si="3">(F9/20.67)*L9</f>
        <v>406.38606676342522</v>
      </c>
      <c r="N9" s="13">
        <f t="shared" ref="N9:N12" si="4">SUM(K9+M9)</f>
        <v>965.25157232704396</v>
      </c>
      <c r="O9" s="23">
        <f>N9</f>
        <v>965.25157232704396</v>
      </c>
    </row>
    <row r="10" spans="1:15" ht="18.75" x14ac:dyDescent="0.3">
      <c r="A10" s="7">
        <v>2</v>
      </c>
      <c r="B10" s="8" t="s">
        <v>35</v>
      </c>
      <c r="C10" s="8" t="s">
        <v>36</v>
      </c>
      <c r="D10" s="9">
        <v>42805</v>
      </c>
      <c r="E10" s="10">
        <v>43251</v>
      </c>
      <c r="F10" s="11">
        <v>350</v>
      </c>
      <c r="G10" s="7">
        <v>14</v>
      </c>
      <c r="H10" s="7">
        <v>21</v>
      </c>
      <c r="I10" s="12">
        <f t="shared" si="0"/>
        <v>408.33333333333337</v>
      </c>
      <c r="J10" s="12">
        <f t="shared" si="1"/>
        <v>29.632317368166422</v>
      </c>
      <c r="K10" s="12">
        <f t="shared" si="2"/>
        <v>437.96565070149978</v>
      </c>
      <c r="L10" s="7">
        <v>17</v>
      </c>
      <c r="M10" s="13">
        <f t="shared" si="3"/>
        <v>287.85679729075952</v>
      </c>
      <c r="N10" s="13">
        <f t="shared" si="4"/>
        <v>725.8224479922593</v>
      </c>
      <c r="O10" s="23">
        <f t="shared" ref="O10:O12" si="5">N10</f>
        <v>725.8224479922593</v>
      </c>
    </row>
    <row r="11" spans="1:15" ht="18.75" x14ac:dyDescent="0.3">
      <c r="A11" s="7">
        <v>3</v>
      </c>
      <c r="B11" s="14" t="s">
        <v>37</v>
      </c>
      <c r="C11" s="8" t="s">
        <v>36</v>
      </c>
      <c r="D11" s="9">
        <v>42815</v>
      </c>
      <c r="E11" s="10">
        <v>43251</v>
      </c>
      <c r="F11" s="11">
        <v>350</v>
      </c>
      <c r="G11" s="15">
        <v>14</v>
      </c>
      <c r="H11" s="15">
        <v>11</v>
      </c>
      <c r="I11" s="12">
        <f t="shared" si="0"/>
        <v>408.33333333333337</v>
      </c>
      <c r="J11" s="12">
        <f t="shared" si="1"/>
        <v>15.521690049991935</v>
      </c>
      <c r="K11" s="12">
        <f t="shared" si="2"/>
        <v>423.85502338332532</v>
      </c>
      <c r="L11" s="15">
        <v>17</v>
      </c>
      <c r="M11" s="13">
        <f t="shared" si="3"/>
        <v>287.85679729075952</v>
      </c>
      <c r="N11" s="13">
        <f t="shared" si="4"/>
        <v>711.71182067408483</v>
      </c>
      <c r="O11" s="23">
        <f t="shared" si="5"/>
        <v>711.71182067408483</v>
      </c>
    </row>
    <row r="12" spans="1:15" ht="18.75" x14ac:dyDescent="0.3">
      <c r="A12" s="7">
        <v>4</v>
      </c>
      <c r="B12" s="8" t="s">
        <v>38</v>
      </c>
      <c r="C12" s="8" t="s">
        <v>36</v>
      </c>
      <c r="D12" s="9">
        <v>42809</v>
      </c>
      <c r="E12" s="10">
        <v>43251</v>
      </c>
      <c r="F12" s="11">
        <v>350</v>
      </c>
      <c r="G12" s="15">
        <v>14</v>
      </c>
      <c r="H12" s="15">
        <v>17</v>
      </c>
      <c r="I12" s="12">
        <f t="shared" si="0"/>
        <v>408.33333333333337</v>
      </c>
      <c r="J12" s="12">
        <f t="shared" si="1"/>
        <v>23.988066440896628</v>
      </c>
      <c r="K12" s="12">
        <f t="shared" si="2"/>
        <v>432.32139977422997</v>
      </c>
      <c r="L12" s="15">
        <v>17</v>
      </c>
      <c r="M12" s="13">
        <f t="shared" si="3"/>
        <v>287.85679729075952</v>
      </c>
      <c r="N12" s="13">
        <f t="shared" si="4"/>
        <v>720.17819706498949</v>
      </c>
      <c r="O12" s="23">
        <f t="shared" si="5"/>
        <v>720.17819706498949</v>
      </c>
    </row>
    <row r="13" spans="1:15" ht="15.75" x14ac:dyDescent="0.25">
      <c r="N13" s="21">
        <f>SUM(N9:N12)</f>
        <v>3122.9640380583774</v>
      </c>
      <c r="O13" s="21">
        <f>SUM(O9:O12)</f>
        <v>3122.9640380583774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C16" sqref="C16"/>
    </sheetView>
  </sheetViews>
  <sheetFormatPr defaultRowHeight="15" x14ac:dyDescent="0.25"/>
  <cols>
    <col min="2" max="2" width="28.140625" customWidth="1"/>
    <col min="3" max="3" width="19.42578125" customWidth="1"/>
    <col min="4" max="4" width="22.28515625" customWidth="1"/>
    <col min="5" max="5" width="17.5703125" customWidth="1"/>
    <col min="6" max="6" width="17.7109375" customWidth="1"/>
    <col min="7" max="7" width="20.5703125" customWidth="1"/>
    <col min="8" max="8" width="15" customWidth="1"/>
    <col min="9" max="9" width="18.5703125" customWidth="1"/>
    <col min="10" max="10" width="17.28515625" customWidth="1"/>
    <col min="11" max="11" width="29.85546875" customWidth="1"/>
    <col min="12" max="12" width="34.28515625" customWidth="1"/>
    <col min="13" max="13" width="26.42578125" customWidth="1"/>
    <col min="15" max="15" width="12.140625" customWidth="1"/>
  </cols>
  <sheetData>
    <row r="1" spans="1:15" x14ac:dyDescent="0.25">
      <c r="A1" s="6" t="s">
        <v>42</v>
      </c>
    </row>
    <row r="2" spans="1:15" x14ac:dyDescent="0.25">
      <c r="A2" s="20" t="s">
        <v>46</v>
      </c>
    </row>
    <row r="3" spans="1:15" x14ac:dyDescent="0.25">
      <c r="A3" s="6" t="s">
        <v>43</v>
      </c>
    </row>
    <row r="4" spans="1:15" x14ac:dyDescent="0.25">
      <c r="A4" s="6" t="s">
        <v>48</v>
      </c>
    </row>
    <row r="5" spans="1:15" x14ac:dyDescent="0.25">
      <c r="A5" s="20" t="s">
        <v>44</v>
      </c>
    </row>
    <row r="7" spans="1:15" ht="18.75" x14ac:dyDescent="0.25">
      <c r="A7" s="1" t="s">
        <v>19</v>
      </c>
      <c r="B7" s="2" t="s">
        <v>20</v>
      </c>
      <c r="C7" s="2" t="s">
        <v>21</v>
      </c>
      <c r="D7" s="2" t="s">
        <v>22</v>
      </c>
      <c r="E7" s="3" t="s">
        <v>23</v>
      </c>
      <c r="F7" s="2" t="s">
        <v>24</v>
      </c>
      <c r="G7" s="4" t="s">
        <v>25</v>
      </c>
      <c r="H7" s="4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5" t="s">
        <v>31</v>
      </c>
      <c r="N7" s="5" t="s">
        <v>32</v>
      </c>
      <c r="O7" s="5" t="s">
        <v>47</v>
      </c>
    </row>
    <row r="8" spans="1:15" ht="18.75" x14ac:dyDescent="0.3">
      <c r="A8" s="7">
        <v>1</v>
      </c>
      <c r="B8" s="8" t="s">
        <v>18</v>
      </c>
      <c r="C8" s="8" t="s">
        <v>14</v>
      </c>
      <c r="D8" s="9">
        <v>42720</v>
      </c>
      <c r="E8" s="10">
        <v>43177</v>
      </c>
      <c r="F8" s="11">
        <v>450</v>
      </c>
      <c r="G8" s="7">
        <v>15</v>
      </c>
      <c r="H8" s="7">
        <v>3</v>
      </c>
      <c r="I8" s="12">
        <f t="shared" ref="I8:I9" si="0">F8/12*G8</f>
        <v>562.5</v>
      </c>
      <c r="J8" s="12">
        <f t="shared" ref="J8:J9" si="1">F8/12/20.67*H8</f>
        <v>5.4426705370101587</v>
      </c>
      <c r="K8" s="12">
        <f t="shared" ref="K8:K9" si="2">I8+J8</f>
        <v>567.94267053701014</v>
      </c>
      <c r="L8" s="19">
        <v>19</v>
      </c>
      <c r="M8" s="13">
        <f t="shared" ref="M8:M9" si="3">(F8/20.67)*L8</f>
        <v>413.64296081277212</v>
      </c>
      <c r="N8" s="24">
        <f t="shared" ref="N8:N9" si="4">SUM(K8+M8)</f>
        <v>981.58563134978226</v>
      </c>
      <c r="O8" s="22">
        <f>N8</f>
        <v>981.58563134978226</v>
      </c>
    </row>
    <row r="9" spans="1:15" ht="18.75" x14ac:dyDescent="0.3">
      <c r="A9" s="7">
        <v>2</v>
      </c>
      <c r="B9" s="8" t="s">
        <v>40</v>
      </c>
      <c r="C9" s="8" t="s">
        <v>14</v>
      </c>
      <c r="D9" s="9">
        <v>42811</v>
      </c>
      <c r="E9" s="10">
        <v>43177</v>
      </c>
      <c r="F9" s="11">
        <v>450</v>
      </c>
      <c r="G9" s="7">
        <v>12</v>
      </c>
      <c r="H9" s="7">
        <v>2</v>
      </c>
      <c r="I9" s="12">
        <f t="shared" si="0"/>
        <v>450</v>
      </c>
      <c r="J9" s="12">
        <f t="shared" si="1"/>
        <v>3.6284470246734393</v>
      </c>
      <c r="K9" s="12">
        <f t="shared" si="2"/>
        <v>453.62844702467345</v>
      </c>
      <c r="L9" s="19">
        <v>15</v>
      </c>
      <c r="M9" s="13">
        <f t="shared" si="3"/>
        <v>326.56023222060958</v>
      </c>
      <c r="N9" s="24">
        <f t="shared" si="4"/>
        <v>780.18867924528308</v>
      </c>
      <c r="O9" s="22">
        <f t="shared" ref="O9:O10" si="5">N9</f>
        <v>780.18867924528308</v>
      </c>
    </row>
    <row r="10" spans="1:15" ht="15.75" x14ac:dyDescent="0.25">
      <c r="N10" s="25">
        <f>SUM(N8:N9)</f>
        <v>1761.7743105950653</v>
      </c>
      <c r="O10" s="21">
        <f t="shared" si="5"/>
        <v>1761.7743105950653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C21" sqref="C21"/>
    </sheetView>
  </sheetViews>
  <sheetFormatPr defaultRowHeight="15" x14ac:dyDescent="0.25"/>
  <cols>
    <col min="2" max="2" width="25.42578125" customWidth="1"/>
    <col min="3" max="3" width="19.85546875" customWidth="1"/>
    <col min="4" max="4" width="23.140625" customWidth="1"/>
    <col min="5" max="5" width="18.42578125" customWidth="1"/>
    <col min="6" max="6" width="18.5703125" customWidth="1"/>
    <col min="7" max="7" width="19.85546875" customWidth="1"/>
    <col min="8" max="8" width="16.28515625" customWidth="1"/>
    <col min="9" max="9" width="16.140625" bestFit="1" customWidth="1"/>
    <col min="10" max="10" width="16" customWidth="1"/>
    <col min="11" max="11" width="29.140625" customWidth="1"/>
    <col min="12" max="12" width="36.140625" customWidth="1"/>
    <col min="13" max="13" width="22.5703125" customWidth="1"/>
    <col min="14" max="14" width="13.7109375" customWidth="1"/>
    <col min="15" max="15" width="11.140625" customWidth="1"/>
  </cols>
  <sheetData>
    <row r="1" spans="1:15" x14ac:dyDescent="0.25">
      <c r="A1" s="6" t="s">
        <v>42</v>
      </c>
    </row>
    <row r="2" spans="1:15" x14ac:dyDescent="0.25">
      <c r="A2" s="20" t="s">
        <v>50</v>
      </c>
    </row>
    <row r="3" spans="1:15" x14ac:dyDescent="0.25">
      <c r="A3" s="6" t="s">
        <v>43</v>
      </c>
    </row>
    <row r="4" spans="1:15" x14ac:dyDescent="0.25">
      <c r="A4" s="6" t="s">
        <v>49</v>
      </c>
    </row>
    <row r="5" spans="1:15" x14ac:dyDescent="0.25">
      <c r="A5" s="20" t="s">
        <v>44</v>
      </c>
    </row>
    <row r="7" spans="1:15" ht="18.75" x14ac:dyDescent="0.25">
      <c r="A7" s="1" t="s">
        <v>19</v>
      </c>
      <c r="B7" s="2" t="s">
        <v>20</v>
      </c>
      <c r="C7" s="2" t="s">
        <v>21</v>
      </c>
      <c r="D7" s="2" t="s">
        <v>22</v>
      </c>
      <c r="E7" s="3" t="s">
        <v>23</v>
      </c>
      <c r="F7" s="2" t="s">
        <v>24</v>
      </c>
      <c r="G7" s="4" t="s">
        <v>25</v>
      </c>
      <c r="H7" s="4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5" t="s">
        <v>31</v>
      </c>
      <c r="N7" s="5" t="s">
        <v>32</v>
      </c>
      <c r="O7" s="5" t="s">
        <v>47</v>
      </c>
    </row>
    <row r="8" spans="1:15" ht="18.75" x14ac:dyDescent="0.3">
      <c r="A8" s="7">
        <v>1</v>
      </c>
      <c r="B8" s="8" t="s">
        <v>2</v>
      </c>
      <c r="C8" s="8" t="s">
        <v>39</v>
      </c>
      <c r="D8" s="9">
        <v>42796</v>
      </c>
      <c r="E8" s="10">
        <v>43251</v>
      </c>
      <c r="F8" s="11">
        <v>650</v>
      </c>
      <c r="G8" s="15">
        <v>14</v>
      </c>
      <c r="H8" s="15">
        <v>30</v>
      </c>
      <c r="I8" s="12">
        <f t="shared" ref="I8" si="0">F8/12*G8</f>
        <v>758.33333333333326</v>
      </c>
      <c r="J8" s="12">
        <f t="shared" ref="J8" si="1">F8/12/20.67*H8</f>
        <v>78.616352201257854</v>
      </c>
      <c r="K8" s="12">
        <f t="shared" ref="K8" si="2">I8+J8</f>
        <v>836.94968553459114</v>
      </c>
      <c r="L8" s="15">
        <v>17</v>
      </c>
      <c r="M8" s="13">
        <f t="shared" ref="M8" si="3">(F8/20.67)*L8</f>
        <v>534.5911949685534</v>
      </c>
      <c r="N8" s="13">
        <f t="shared" ref="N8" si="4">SUM(K8+M8)</f>
        <v>1371.5408805031445</v>
      </c>
      <c r="O8" s="26">
        <f>N8</f>
        <v>1371.5408805031445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N28" sqref="N28"/>
    </sheetView>
  </sheetViews>
  <sheetFormatPr defaultRowHeight="15" x14ac:dyDescent="0.25"/>
  <cols>
    <col min="2" max="2" width="29.85546875" customWidth="1"/>
    <col min="3" max="3" width="27.5703125" customWidth="1"/>
    <col min="4" max="4" width="25.5703125" customWidth="1"/>
    <col min="5" max="5" width="19" customWidth="1"/>
    <col min="6" max="6" width="17" customWidth="1"/>
    <col min="7" max="7" width="19.140625" customWidth="1"/>
    <col min="8" max="8" width="16.42578125" customWidth="1"/>
    <col min="9" max="9" width="15.85546875" customWidth="1"/>
    <col min="10" max="10" width="13.7109375" customWidth="1"/>
    <col min="11" max="11" width="28.140625" customWidth="1"/>
    <col min="12" max="12" width="38" customWidth="1"/>
    <col min="13" max="13" width="28.28515625" customWidth="1"/>
    <col min="14" max="14" width="13.28515625" customWidth="1"/>
    <col min="15" max="15" width="11.28515625" customWidth="1"/>
  </cols>
  <sheetData>
    <row r="1" spans="1:15" x14ac:dyDescent="0.25">
      <c r="A1" s="6" t="s">
        <v>42</v>
      </c>
    </row>
    <row r="2" spans="1:15" x14ac:dyDescent="0.25">
      <c r="A2" s="20" t="s">
        <v>46</v>
      </c>
    </row>
    <row r="3" spans="1:15" x14ac:dyDescent="0.25">
      <c r="A3" s="6" t="s">
        <v>43</v>
      </c>
    </row>
    <row r="4" spans="1:15" x14ac:dyDescent="0.25">
      <c r="A4" s="6" t="s">
        <v>51</v>
      </c>
    </row>
    <row r="5" spans="1:15" x14ac:dyDescent="0.25">
      <c r="A5" s="20" t="s">
        <v>44</v>
      </c>
    </row>
    <row r="8" spans="1:15" ht="18.75" x14ac:dyDescent="0.25">
      <c r="A8" s="1" t="s">
        <v>19</v>
      </c>
      <c r="B8" s="2" t="s">
        <v>20</v>
      </c>
      <c r="C8" s="2" t="s">
        <v>21</v>
      </c>
      <c r="D8" s="2" t="s">
        <v>22</v>
      </c>
      <c r="E8" s="3" t="s">
        <v>23</v>
      </c>
      <c r="F8" s="2" t="s">
        <v>24</v>
      </c>
      <c r="G8" s="4" t="s">
        <v>25</v>
      </c>
      <c r="H8" s="4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5" t="s">
        <v>31</v>
      </c>
      <c r="N8" s="5" t="s">
        <v>32</v>
      </c>
      <c r="O8" s="5" t="s">
        <v>47</v>
      </c>
    </row>
    <row r="9" spans="1:15" ht="18.75" x14ac:dyDescent="0.3">
      <c r="A9" s="7">
        <v>1</v>
      </c>
      <c r="B9" s="8" t="s">
        <v>33</v>
      </c>
      <c r="C9" s="8" t="s">
        <v>41</v>
      </c>
      <c r="D9" s="9">
        <v>43062</v>
      </c>
      <c r="E9" s="10">
        <v>43251</v>
      </c>
      <c r="F9" s="11">
        <v>1050</v>
      </c>
      <c r="G9" s="7">
        <v>6</v>
      </c>
      <c r="H9" s="7">
        <v>8</v>
      </c>
      <c r="I9" s="12">
        <f t="shared" ref="I9:I24" si="0">F9/12*G9</f>
        <v>525</v>
      </c>
      <c r="J9" s="12">
        <f t="shared" ref="J9:J24" si="1">F9/12/20.67*H9</f>
        <v>33.865505563618768</v>
      </c>
      <c r="K9" s="12">
        <f t="shared" ref="K9:K24" si="2">I9+J9</f>
        <v>558.86550556361874</v>
      </c>
      <c r="L9" s="7">
        <v>8</v>
      </c>
      <c r="M9" s="13">
        <f t="shared" ref="M9:M24" si="3">(F9/20.67)*L9</f>
        <v>406.38606676342522</v>
      </c>
      <c r="N9" s="13">
        <f t="shared" ref="N9:N24" si="4">SUM(K9+M9)</f>
        <v>965.25157232704396</v>
      </c>
      <c r="O9" s="27">
        <f>N9</f>
        <v>965.25157232704396</v>
      </c>
    </row>
    <row r="10" spans="1:15" ht="18.75" x14ac:dyDescent="0.3">
      <c r="A10" s="7">
        <v>2</v>
      </c>
      <c r="B10" s="8" t="s">
        <v>35</v>
      </c>
      <c r="C10" s="8" t="s">
        <v>36</v>
      </c>
      <c r="D10" s="9">
        <v>42805</v>
      </c>
      <c r="E10" s="10">
        <v>43251</v>
      </c>
      <c r="F10" s="11">
        <v>350</v>
      </c>
      <c r="G10" s="7">
        <v>14</v>
      </c>
      <c r="H10" s="7">
        <v>21</v>
      </c>
      <c r="I10" s="12">
        <f t="shared" si="0"/>
        <v>408.33333333333337</v>
      </c>
      <c r="J10" s="12">
        <f t="shared" si="1"/>
        <v>29.632317368166422</v>
      </c>
      <c r="K10" s="12">
        <f t="shared" si="2"/>
        <v>437.96565070149978</v>
      </c>
      <c r="L10" s="7">
        <v>17</v>
      </c>
      <c r="M10" s="13">
        <f t="shared" si="3"/>
        <v>287.85679729075952</v>
      </c>
      <c r="N10" s="13">
        <f t="shared" si="4"/>
        <v>725.8224479922593</v>
      </c>
      <c r="O10" s="27">
        <f t="shared" ref="O10:O24" si="5">N10</f>
        <v>725.8224479922593</v>
      </c>
    </row>
    <row r="11" spans="1:15" ht="18.75" x14ac:dyDescent="0.3">
      <c r="A11" s="7">
        <v>3</v>
      </c>
      <c r="B11" s="14" t="s">
        <v>37</v>
      </c>
      <c r="C11" s="8" t="s">
        <v>36</v>
      </c>
      <c r="D11" s="9">
        <v>42815</v>
      </c>
      <c r="E11" s="10">
        <v>43251</v>
      </c>
      <c r="F11" s="11">
        <v>350</v>
      </c>
      <c r="G11" s="15">
        <v>14</v>
      </c>
      <c r="H11" s="15">
        <v>11</v>
      </c>
      <c r="I11" s="12">
        <f t="shared" si="0"/>
        <v>408.33333333333337</v>
      </c>
      <c r="J11" s="12">
        <f t="shared" si="1"/>
        <v>15.521690049991935</v>
      </c>
      <c r="K11" s="12">
        <f t="shared" si="2"/>
        <v>423.85502338332532</v>
      </c>
      <c r="L11" s="15">
        <v>17</v>
      </c>
      <c r="M11" s="13">
        <f t="shared" si="3"/>
        <v>287.85679729075952</v>
      </c>
      <c r="N11" s="13">
        <f t="shared" si="4"/>
        <v>711.71182067408483</v>
      </c>
      <c r="O11" s="27">
        <f t="shared" si="5"/>
        <v>711.71182067408483</v>
      </c>
    </row>
    <row r="12" spans="1:15" ht="18.75" x14ac:dyDescent="0.3">
      <c r="A12" s="7">
        <v>4</v>
      </c>
      <c r="B12" s="8" t="s">
        <v>38</v>
      </c>
      <c r="C12" s="8" t="s">
        <v>36</v>
      </c>
      <c r="D12" s="9">
        <v>42809</v>
      </c>
      <c r="E12" s="10">
        <v>43251</v>
      </c>
      <c r="F12" s="11">
        <v>350</v>
      </c>
      <c r="G12" s="15">
        <v>14</v>
      </c>
      <c r="H12" s="15">
        <v>17</v>
      </c>
      <c r="I12" s="12">
        <f t="shared" si="0"/>
        <v>408.33333333333337</v>
      </c>
      <c r="J12" s="12">
        <f t="shared" si="1"/>
        <v>23.988066440896628</v>
      </c>
      <c r="K12" s="12">
        <f t="shared" si="2"/>
        <v>432.32139977422997</v>
      </c>
      <c r="L12" s="15">
        <v>17</v>
      </c>
      <c r="M12" s="13">
        <f t="shared" si="3"/>
        <v>287.85679729075952</v>
      </c>
      <c r="N12" s="13">
        <f t="shared" si="4"/>
        <v>720.17819706498949</v>
      </c>
      <c r="O12" s="27">
        <f t="shared" si="5"/>
        <v>720.17819706498949</v>
      </c>
    </row>
    <row r="13" spans="1:15" ht="18.75" x14ac:dyDescent="0.3">
      <c r="A13" s="7">
        <v>5</v>
      </c>
      <c r="B13" s="8" t="s">
        <v>0</v>
      </c>
      <c r="C13" s="8" t="s">
        <v>1</v>
      </c>
      <c r="D13" s="16">
        <v>42887</v>
      </c>
      <c r="E13" s="10">
        <v>43251</v>
      </c>
      <c r="F13" s="11">
        <v>1450</v>
      </c>
      <c r="G13" s="17">
        <v>12</v>
      </c>
      <c r="H13" s="17">
        <v>0</v>
      </c>
      <c r="I13" s="12">
        <f t="shared" si="0"/>
        <v>1450</v>
      </c>
      <c r="J13" s="12">
        <f t="shared" si="1"/>
        <v>0</v>
      </c>
      <c r="K13" s="12">
        <f t="shared" si="2"/>
        <v>1450</v>
      </c>
      <c r="L13" s="17">
        <v>15</v>
      </c>
      <c r="M13" s="13">
        <f t="shared" si="3"/>
        <v>1052.2496371552975</v>
      </c>
      <c r="N13" s="13">
        <f t="shared" si="4"/>
        <v>2502.2496371552975</v>
      </c>
      <c r="O13" s="27">
        <f t="shared" si="5"/>
        <v>2502.2496371552975</v>
      </c>
    </row>
    <row r="14" spans="1:15" ht="18.75" x14ac:dyDescent="0.3">
      <c r="A14" s="7">
        <v>6</v>
      </c>
      <c r="B14" s="8" t="s">
        <v>2</v>
      </c>
      <c r="C14" s="8" t="s">
        <v>39</v>
      </c>
      <c r="D14" s="9">
        <v>42796</v>
      </c>
      <c r="E14" s="10">
        <v>43251</v>
      </c>
      <c r="F14" s="11">
        <v>650</v>
      </c>
      <c r="G14" s="15">
        <v>14</v>
      </c>
      <c r="H14" s="15">
        <v>30</v>
      </c>
      <c r="I14" s="12">
        <f t="shared" si="0"/>
        <v>758.33333333333326</v>
      </c>
      <c r="J14" s="12">
        <f t="shared" si="1"/>
        <v>78.616352201257854</v>
      </c>
      <c r="K14" s="12">
        <f t="shared" si="2"/>
        <v>836.94968553459114</v>
      </c>
      <c r="L14" s="15">
        <v>17</v>
      </c>
      <c r="M14" s="13">
        <f t="shared" si="3"/>
        <v>534.5911949685534</v>
      </c>
      <c r="N14" s="13">
        <f t="shared" si="4"/>
        <v>1371.5408805031445</v>
      </c>
      <c r="O14" s="27">
        <f t="shared" si="5"/>
        <v>1371.5408805031445</v>
      </c>
    </row>
    <row r="15" spans="1:15" ht="18.75" x14ac:dyDescent="0.3">
      <c r="A15" s="7">
        <v>7</v>
      </c>
      <c r="B15" s="8" t="s">
        <v>3</v>
      </c>
      <c r="C15" s="8" t="s">
        <v>4</v>
      </c>
      <c r="D15" s="9">
        <v>43028</v>
      </c>
      <c r="E15" s="10">
        <v>43251</v>
      </c>
      <c r="F15" s="11">
        <v>450</v>
      </c>
      <c r="G15" s="18">
        <v>7</v>
      </c>
      <c r="H15" s="18">
        <v>12</v>
      </c>
      <c r="I15" s="12">
        <f t="shared" si="0"/>
        <v>262.5</v>
      </c>
      <c r="J15" s="12">
        <f t="shared" si="1"/>
        <v>21.770682148040635</v>
      </c>
      <c r="K15" s="12">
        <f t="shared" si="2"/>
        <v>284.27068214804063</v>
      </c>
      <c r="L15" s="18">
        <v>9</v>
      </c>
      <c r="M15" s="13">
        <f t="shared" si="3"/>
        <v>195.93613933236574</v>
      </c>
      <c r="N15" s="13">
        <f t="shared" si="4"/>
        <v>480.20682148040635</v>
      </c>
      <c r="O15" s="27">
        <f t="shared" si="5"/>
        <v>480.20682148040635</v>
      </c>
    </row>
    <row r="16" spans="1:15" ht="18.75" x14ac:dyDescent="0.3">
      <c r="A16" s="7">
        <v>8</v>
      </c>
      <c r="B16" s="8" t="s">
        <v>5</v>
      </c>
      <c r="C16" s="8" t="s">
        <v>4</v>
      </c>
      <c r="D16" s="9">
        <v>43050</v>
      </c>
      <c r="E16" s="10">
        <v>43251</v>
      </c>
      <c r="F16" s="11">
        <v>450</v>
      </c>
      <c r="G16" s="7">
        <v>6</v>
      </c>
      <c r="H16" s="7">
        <v>20</v>
      </c>
      <c r="I16" s="12">
        <f t="shared" si="0"/>
        <v>225</v>
      </c>
      <c r="J16" s="12">
        <f t="shared" si="1"/>
        <v>36.284470246734394</v>
      </c>
      <c r="K16" s="12">
        <f t="shared" si="2"/>
        <v>261.28447024673437</v>
      </c>
      <c r="L16" s="7">
        <v>8</v>
      </c>
      <c r="M16" s="13">
        <f t="shared" si="3"/>
        <v>174.16545718432511</v>
      </c>
      <c r="N16" s="13">
        <f t="shared" si="4"/>
        <v>435.44992743105945</v>
      </c>
      <c r="O16" s="27">
        <f t="shared" si="5"/>
        <v>435.44992743105945</v>
      </c>
    </row>
    <row r="17" spans="1:15" ht="18.75" x14ac:dyDescent="0.3">
      <c r="A17" s="7">
        <v>9</v>
      </c>
      <c r="B17" s="8" t="s">
        <v>6</v>
      </c>
      <c r="C17" s="8" t="s">
        <v>7</v>
      </c>
      <c r="D17" s="9">
        <v>42865</v>
      </c>
      <c r="E17" s="10">
        <v>43251</v>
      </c>
      <c r="F17" s="11">
        <v>950</v>
      </c>
      <c r="G17" s="19">
        <v>12</v>
      </c>
      <c r="H17" s="19">
        <v>22</v>
      </c>
      <c r="I17" s="12">
        <f t="shared" si="0"/>
        <v>950</v>
      </c>
      <c r="J17" s="12">
        <f t="shared" si="1"/>
        <v>84.260603128527663</v>
      </c>
      <c r="K17" s="12">
        <f t="shared" si="2"/>
        <v>1034.2606031285277</v>
      </c>
      <c r="L17" s="19">
        <v>15</v>
      </c>
      <c r="M17" s="13">
        <f t="shared" si="3"/>
        <v>689.40493468795353</v>
      </c>
      <c r="N17" s="13">
        <f t="shared" si="4"/>
        <v>1723.6655378164812</v>
      </c>
      <c r="O17" s="27">
        <f t="shared" si="5"/>
        <v>1723.6655378164812</v>
      </c>
    </row>
    <row r="18" spans="1:15" ht="18.75" x14ac:dyDescent="0.3">
      <c r="A18" s="7">
        <v>10</v>
      </c>
      <c r="B18" s="8" t="s">
        <v>8</v>
      </c>
      <c r="C18" s="8" t="s">
        <v>7</v>
      </c>
      <c r="D18" s="9">
        <v>42786</v>
      </c>
      <c r="E18" s="10">
        <v>43251</v>
      </c>
      <c r="F18" s="11">
        <v>950</v>
      </c>
      <c r="G18" s="19">
        <v>15</v>
      </c>
      <c r="H18" s="19">
        <v>9</v>
      </c>
      <c r="I18" s="12">
        <f t="shared" si="0"/>
        <v>1187.5</v>
      </c>
      <c r="J18" s="12">
        <f t="shared" si="1"/>
        <v>34.470246734397676</v>
      </c>
      <c r="K18" s="12">
        <f t="shared" si="2"/>
        <v>1221.9702467343977</v>
      </c>
      <c r="L18" s="19">
        <v>19</v>
      </c>
      <c r="M18" s="13">
        <f t="shared" si="3"/>
        <v>873.24625060474114</v>
      </c>
      <c r="N18" s="13">
        <f t="shared" si="4"/>
        <v>2095.2164973391391</v>
      </c>
      <c r="O18" s="27">
        <f t="shared" si="5"/>
        <v>2095.2164973391391</v>
      </c>
    </row>
    <row r="19" spans="1:15" ht="18.75" x14ac:dyDescent="0.3">
      <c r="A19" s="7">
        <v>11</v>
      </c>
      <c r="B19" s="8" t="s">
        <v>10</v>
      </c>
      <c r="C19" s="8" t="s">
        <v>9</v>
      </c>
      <c r="D19" s="9">
        <v>42696</v>
      </c>
      <c r="E19" s="10">
        <v>43251</v>
      </c>
      <c r="F19" s="11">
        <v>650</v>
      </c>
      <c r="G19" s="15">
        <v>18</v>
      </c>
      <c r="H19" s="15">
        <v>10</v>
      </c>
      <c r="I19" s="12">
        <f t="shared" si="0"/>
        <v>975</v>
      </c>
      <c r="J19" s="12">
        <f t="shared" si="1"/>
        <v>26.205450733752617</v>
      </c>
      <c r="K19" s="12">
        <f t="shared" si="2"/>
        <v>1001.2054507337526</v>
      </c>
      <c r="L19" s="15">
        <v>23</v>
      </c>
      <c r="M19" s="13">
        <f t="shared" si="3"/>
        <v>723.27044025157227</v>
      </c>
      <c r="N19" s="13">
        <f t="shared" si="4"/>
        <v>1724.4758909853249</v>
      </c>
      <c r="O19" s="27">
        <f t="shared" si="5"/>
        <v>1724.4758909853249</v>
      </c>
    </row>
    <row r="20" spans="1:15" ht="18.75" x14ac:dyDescent="0.3">
      <c r="A20" s="7">
        <v>12</v>
      </c>
      <c r="B20" s="8" t="s">
        <v>11</v>
      </c>
      <c r="C20" s="8" t="s">
        <v>12</v>
      </c>
      <c r="D20" s="9">
        <v>42709</v>
      </c>
      <c r="E20" s="10">
        <v>43251</v>
      </c>
      <c r="F20" s="11">
        <v>650</v>
      </c>
      <c r="G20" s="18">
        <v>17</v>
      </c>
      <c r="H20" s="18">
        <v>27</v>
      </c>
      <c r="I20" s="12">
        <f t="shared" si="0"/>
        <v>920.83333333333326</v>
      </c>
      <c r="J20" s="12">
        <f t="shared" si="1"/>
        <v>70.754716981132063</v>
      </c>
      <c r="K20" s="12">
        <f t="shared" si="2"/>
        <v>991.58805031446536</v>
      </c>
      <c r="L20" s="18">
        <v>21</v>
      </c>
      <c r="M20" s="13">
        <f t="shared" si="3"/>
        <v>660.37735849056605</v>
      </c>
      <c r="N20" s="13">
        <f t="shared" si="4"/>
        <v>1651.9654088050315</v>
      </c>
      <c r="O20" s="27">
        <f t="shared" si="5"/>
        <v>1651.9654088050315</v>
      </c>
    </row>
    <row r="21" spans="1:15" ht="18.75" x14ac:dyDescent="0.3">
      <c r="A21" s="7">
        <v>13</v>
      </c>
      <c r="B21" s="8" t="s">
        <v>13</v>
      </c>
      <c r="C21" s="8" t="s">
        <v>4</v>
      </c>
      <c r="D21" s="9">
        <v>42978</v>
      </c>
      <c r="E21" s="10">
        <v>43251</v>
      </c>
      <c r="F21" s="11">
        <v>650</v>
      </c>
      <c r="G21" s="7">
        <v>9</v>
      </c>
      <c r="H21" s="7">
        <v>1</v>
      </c>
      <c r="I21" s="12">
        <f t="shared" si="0"/>
        <v>487.5</v>
      </c>
      <c r="J21" s="12">
        <f t="shared" si="1"/>
        <v>2.6205450733752618</v>
      </c>
      <c r="K21" s="12">
        <f t="shared" si="2"/>
        <v>490.12054507337524</v>
      </c>
      <c r="L21" s="7">
        <v>11</v>
      </c>
      <c r="M21" s="13">
        <f t="shared" si="3"/>
        <v>345.91194968553458</v>
      </c>
      <c r="N21" s="13">
        <f t="shared" si="4"/>
        <v>836.03249475890982</v>
      </c>
      <c r="O21" s="27">
        <f t="shared" si="5"/>
        <v>836.03249475890982</v>
      </c>
    </row>
    <row r="22" spans="1:15" ht="18.75" x14ac:dyDescent="0.3">
      <c r="A22" s="7">
        <v>14</v>
      </c>
      <c r="B22" s="8" t="s">
        <v>15</v>
      </c>
      <c r="C22" s="8" t="s">
        <v>14</v>
      </c>
      <c r="D22" s="9">
        <v>42904</v>
      </c>
      <c r="E22" s="10">
        <v>43251</v>
      </c>
      <c r="F22" s="11">
        <v>450</v>
      </c>
      <c r="G22" s="7">
        <v>11</v>
      </c>
      <c r="H22" s="7">
        <v>13</v>
      </c>
      <c r="I22" s="12">
        <f t="shared" si="0"/>
        <v>412.5</v>
      </c>
      <c r="J22" s="12">
        <f t="shared" si="1"/>
        <v>23.584905660377355</v>
      </c>
      <c r="K22" s="12">
        <f t="shared" si="2"/>
        <v>436.08490566037733</v>
      </c>
      <c r="L22" s="19">
        <v>14</v>
      </c>
      <c r="M22" s="13">
        <f t="shared" si="3"/>
        <v>304.78955007256894</v>
      </c>
      <c r="N22" s="13">
        <f t="shared" si="4"/>
        <v>740.87445573294622</v>
      </c>
      <c r="O22" s="27">
        <f t="shared" si="5"/>
        <v>740.87445573294622</v>
      </c>
    </row>
    <row r="23" spans="1:15" ht="18.75" x14ac:dyDescent="0.3">
      <c r="A23" s="7">
        <v>15</v>
      </c>
      <c r="B23" s="8" t="s">
        <v>16</v>
      </c>
      <c r="C23" s="8" t="s">
        <v>14</v>
      </c>
      <c r="D23" s="9">
        <v>43050</v>
      </c>
      <c r="E23" s="10">
        <v>43251</v>
      </c>
      <c r="F23" s="11">
        <v>450</v>
      </c>
      <c r="G23" s="7">
        <v>6</v>
      </c>
      <c r="H23" s="7">
        <v>20</v>
      </c>
      <c r="I23" s="12">
        <f t="shared" si="0"/>
        <v>225</v>
      </c>
      <c r="J23" s="12">
        <f t="shared" si="1"/>
        <v>36.284470246734394</v>
      </c>
      <c r="K23" s="12">
        <f t="shared" si="2"/>
        <v>261.28447024673437</v>
      </c>
      <c r="L23" s="19">
        <v>8</v>
      </c>
      <c r="M23" s="13">
        <f t="shared" si="3"/>
        <v>174.16545718432511</v>
      </c>
      <c r="N23" s="13">
        <f t="shared" si="4"/>
        <v>435.44992743105945</v>
      </c>
      <c r="O23" s="27">
        <f t="shared" si="5"/>
        <v>435.44992743105945</v>
      </c>
    </row>
    <row r="24" spans="1:15" ht="18.75" x14ac:dyDescent="0.3">
      <c r="A24" s="7">
        <v>16</v>
      </c>
      <c r="B24" s="8" t="s">
        <v>17</v>
      </c>
      <c r="C24" s="8" t="s">
        <v>14</v>
      </c>
      <c r="D24" s="9">
        <v>42866</v>
      </c>
      <c r="E24" s="10">
        <v>43251</v>
      </c>
      <c r="F24" s="11">
        <v>450</v>
      </c>
      <c r="G24" s="7">
        <v>12</v>
      </c>
      <c r="H24" s="7">
        <v>21</v>
      </c>
      <c r="I24" s="12">
        <f t="shared" si="0"/>
        <v>450</v>
      </c>
      <c r="J24" s="12">
        <f t="shared" si="1"/>
        <v>38.098693759071111</v>
      </c>
      <c r="K24" s="12">
        <f t="shared" si="2"/>
        <v>488.09869375907112</v>
      </c>
      <c r="L24" s="19">
        <v>15</v>
      </c>
      <c r="M24" s="13">
        <f t="shared" si="3"/>
        <v>326.56023222060958</v>
      </c>
      <c r="N24" s="13">
        <f t="shared" si="4"/>
        <v>814.6589259796807</v>
      </c>
      <c r="O24" s="27">
        <f t="shared" si="5"/>
        <v>814.6589259796807</v>
      </c>
    </row>
    <row r="25" spans="1:15" ht="15.75" x14ac:dyDescent="0.25">
      <c r="N25" s="21">
        <f>SUM(N9:N24)</f>
        <v>17934.75044347686</v>
      </c>
      <c r="O25" s="21">
        <f>SUM(O9:O24)</f>
        <v>17934.75044347686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 1 EOS</vt:lpstr>
      <vt:lpstr>CHEC 5 EOS </vt:lpstr>
      <vt:lpstr>CHEC 3 EOS</vt:lpstr>
      <vt:lpstr>CHEC 7 EOS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2018-09-04T15:47:13Z</dcterms:modified>
</cp:coreProperties>
</file>