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7920" windowHeight="4725"/>
  </bookViews>
  <sheets>
    <sheet name="redundancy payments" sheetId="4" r:id="rId1"/>
  </sheets>
  <calcPr calcId="144525"/>
</workbook>
</file>

<file path=xl/calcChain.xml><?xml version="1.0" encoding="utf-8"?>
<calcChain xmlns="http://schemas.openxmlformats.org/spreadsheetml/2006/main">
  <c r="M11" i="4" l="1"/>
  <c r="J11" i="4"/>
  <c r="I11" i="4"/>
  <c r="K11" i="4" s="1"/>
  <c r="N11" i="4" s="1"/>
  <c r="M10" i="4"/>
  <c r="J10" i="4"/>
  <c r="I10" i="4"/>
  <c r="K10" i="4" s="1"/>
  <c r="N10" i="4" s="1"/>
  <c r="M9" i="4"/>
  <c r="J9" i="4"/>
  <c r="K9" i="4" s="1"/>
  <c r="N9" i="4" s="1"/>
  <c r="I9" i="4"/>
  <c r="M8" i="4"/>
  <c r="J8" i="4"/>
  <c r="I8" i="4"/>
  <c r="K8" i="4" s="1"/>
  <c r="N8" i="4" s="1"/>
  <c r="M7" i="4"/>
  <c r="J7" i="4"/>
  <c r="I7" i="4"/>
  <c r="K7" i="4" s="1"/>
  <c r="N7" i="4" s="1"/>
  <c r="O10" i="4" l="1"/>
  <c r="O8" i="4"/>
  <c r="O9" i="4"/>
  <c r="M12" i="4"/>
  <c r="O11" i="4"/>
  <c r="O7" i="4"/>
  <c r="L12" i="4"/>
  <c r="J12" i="4"/>
  <c r="I12" i="4"/>
  <c r="K12" i="4" l="1"/>
  <c r="N12" i="4"/>
  <c r="O12" i="4" l="1"/>
</calcChain>
</file>

<file path=xl/sharedStrings.xml><?xml version="1.0" encoding="utf-8"?>
<sst xmlns="http://schemas.openxmlformats.org/spreadsheetml/2006/main" count="30" uniqueCount="29">
  <si>
    <t>序号</t>
  </si>
  <si>
    <t>TO CHEC</t>
  </si>
  <si>
    <t>TOTAL</t>
  </si>
  <si>
    <t>LABOR POWER &amp;CONSULTANCY LIMITED</t>
  </si>
  <si>
    <t>TO: CHINA HARBOUR ENGINEERING COMPANY (GHANA) LIMITED</t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</si>
  <si>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</si>
  <si>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</si>
  <si>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</si>
  <si>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</si>
  <si>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</si>
  <si>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</si>
  <si>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</si>
  <si>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</si>
  <si>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</si>
  <si>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</si>
  <si>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WELDER</t>
  </si>
  <si>
    <t>防波堤队伍工人遣散费用名单</t>
    <phoneticPr fontId="0" type="noConversion"/>
  </si>
  <si>
    <t>NAME</t>
    <phoneticPr fontId="0" type="noConversion"/>
  </si>
  <si>
    <t xml:space="preserve"> POSITION</t>
    <phoneticPr fontId="0" type="noConversion"/>
  </si>
  <si>
    <t>FLAGMAN</t>
  </si>
  <si>
    <t>PHILIP YAW AMEDZRO</t>
  </si>
  <si>
    <t>DIVINE AGBETOR</t>
  </si>
  <si>
    <t>JACOB AGBANYO</t>
  </si>
  <si>
    <t>ELORM DOGBA</t>
  </si>
  <si>
    <t>ABRAHAM BODUWAH</t>
  </si>
  <si>
    <t>MECHANIC</t>
  </si>
  <si>
    <t>LABOURER</t>
  </si>
  <si>
    <t>PERIOD: 19/06/2018</t>
  </si>
  <si>
    <t xml:space="preserve">INVOICE SUMMARY ON END OF CONTRACTS PAYMENTS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</si>
</sst>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[$-409]d\-mmm\-yy;@"/>
    <numFmt numFmtId="166" formatCode="[$-409]dd\-mmm\-yy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indexed="8"/>
      <name val="Tahoma"/>
      <family val="2"/>
      <charset val="134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/>
    <xf numFmtId="0" fontId="13" fillId="0" borderId="0">
      <alignment vertical="center"/>
    </xf>
  </cellStyleXfs>
  <cellXfs count="36">
    <xf numFmtId="0" fontId="0" fillId="0" borderId="0" xfId="0">
      <alignment vertical="center"/>
    </xf>
    <xf numFmtId="0" fontId="4" fillId="0" borderId="0" xfId="0" applyFont="1" applyFill="1" applyBorder="1" applyAlignment="1">
      <alignment vertical="center"/>
    </xf>
    <xf numFmtId="14" fontId="4" fillId="0" borderId="0" xfId="0" applyNumberFormat="1" applyFont="1" applyFill="1" applyBorder="1" applyAlignment="1">
      <alignment horizontal="center" vertical="top"/>
    </xf>
    <xf numFmtId="14" fontId="4" fillId="0" borderId="0" xfId="0" applyNumberFormat="1" applyFont="1" applyFill="1" applyBorder="1" applyAlignment="1">
      <alignment vertical="top"/>
    </xf>
    <xf numFmtId="0" fontId="6" fillId="0" borderId="1" xfId="0" applyFont="1" applyBorder="1" applyAlignment="1">
      <alignment vertical="center" wrapText="1"/>
    </xf>
    <xf numFmtId="4" fontId="8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Fill="1" applyBorder="1" applyAlignment="1">
      <alignment horizontal="right" vertical="center"/>
    </xf>
    <xf numFmtId="4" fontId="8" fillId="0" borderId="1" xfId="0" applyNumberFormat="1" applyFont="1" applyBorder="1" applyAlignment="1">
      <alignment vertical="center"/>
    </xf>
    <xf numFmtId="4" fontId="8" fillId="0" borderId="1" xfId="0" applyNumberFormat="1" applyFont="1" applyBorder="1">
      <alignment vertical="center"/>
    </xf>
    <xf numFmtId="2" fontId="7" fillId="0" borderId="1" xfId="0" applyNumberFormat="1" applyFont="1" applyBorder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165" fontId="1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12" fillId="0" borderId="1" xfId="0" applyFont="1" applyFill="1" applyBorder="1" applyAlignment="1">
      <alignment horizontal="left" vertical="center"/>
    </xf>
    <xf numFmtId="43" fontId="14" fillId="0" borderId="1" xfId="1" applyFont="1" applyFill="1" applyBorder="1" applyAlignment="1" applyProtection="1">
      <alignment horizontal="center" vertical="center"/>
    </xf>
    <xf numFmtId="166" fontId="12" fillId="2" borderId="1" xfId="0" applyNumberFormat="1" applyFont="1" applyFill="1" applyBorder="1" applyAlignment="1">
      <alignment horizontal="left"/>
    </xf>
    <xf numFmtId="166" fontId="12" fillId="2" borderId="1" xfId="0" applyNumberFormat="1" applyFont="1" applyFill="1" applyBorder="1" applyAlignment="1">
      <alignment horizontal="left" vertical="center"/>
    </xf>
    <xf numFmtId="166" fontId="12" fillId="0" borderId="1" xfId="0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</cellXfs>
  <cellStyles count="3">
    <cellStyle name="Comma 2 2 2" xfId="1"/>
    <cellStyle name="Normal" xfId="0" builtinId="0"/>
    <cellStyle name="常规 5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tabSelected="1" workbookViewId="0">
      <selection activeCell="C15" sqref="C15"/>
    </sheetView>
  </sheetViews>
  <sheetFormatPr defaultRowHeight="15"/>
  <cols>
    <col min="2" max="2" width="28.42578125" customWidth="1"/>
    <col min="3" max="3" width="23.42578125" customWidth="1"/>
    <col min="4" max="4" width="21.85546875" customWidth="1"/>
    <col min="5" max="5" width="16.85546875" customWidth="1"/>
    <col min="6" max="6" width="23.5703125" customWidth="1"/>
    <col min="7" max="7" width="20" customWidth="1"/>
    <col min="8" max="8" width="17.28515625" customWidth="1"/>
    <col min="9" max="9" width="17.85546875" customWidth="1"/>
    <col min="10" max="10" width="15.140625" customWidth="1"/>
    <col min="11" max="11" width="27.85546875" customWidth="1"/>
    <col min="12" max="12" width="37.7109375" customWidth="1"/>
    <col min="13" max="13" width="22.42578125" customWidth="1"/>
    <col min="14" max="14" width="16.42578125" customWidth="1"/>
    <col min="15" max="15" width="14.28515625" customWidth="1"/>
  </cols>
  <sheetData>
    <row r="1" spans="1:16">
      <c r="A1" t="s">
        <v>3</v>
      </c>
    </row>
    <row r="2" spans="1:16">
      <c r="A2" s="34" t="s">
        <v>28</v>
      </c>
    </row>
    <row r="3" spans="1:16">
      <c r="A3" t="s">
        <v>4</v>
      </c>
    </row>
    <row r="4" spans="1:16">
      <c r="A4" s="34" t="s">
        <v>27</v>
      </c>
    </row>
    <row r="5" spans="1:16" ht="15.75">
      <c r="A5" s="35" t="s">
        <v>16</v>
      </c>
      <c r="B5" s="35"/>
      <c r="C5" s="35"/>
      <c r="D5" s="35"/>
      <c r="E5" s="35"/>
      <c r="F5" s="35"/>
      <c r="G5" s="35"/>
      <c r="H5" s="35"/>
      <c r="I5" s="35"/>
      <c r="J5" s="35"/>
      <c r="K5" s="12"/>
      <c r="L5" s="13"/>
      <c r="M5" s="13"/>
      <c r="N5" s="13"/>
    </row>
    <row r="6" spans="1:16" ht="106.5" customHeight="1">
      <c r="A6" s="14" t="s">
        <v>0</v>
      </c>
      <c r="B6" s="15" t="s">
        <v>17</v>
      </c>
      <c r="C6" s="16" t="s">
        <v>18</v>
      </c>
      <c r="D6" s="17" t="s">
        <v>5</v>
      </c>
      <c r="E6" s="18" t="s">
        <v>6</v>
      </c>
      <c r="F6" s="11" t="s">
        <v>7</v>
      </c>
      <c r="G6" s="19" t="s">
        <v>8</v>
      </c>
      <c r="H6" s="19" t="s">
        <v>9</v>
      </c>
      <c r="I6" s="11" t="s">
        <v>10</v>
      </c>
      <c r="J6" s="11" t="s">
        <v>11</v>
      </c>
      <c r="K6" s="11" t="s">
        <v>12</v>
      </c>
      <c r="L6" s="11" t="s">
        <v>13</v>
      </c>
      <c r="M6" s="11" t="s">
        <v>14</v>
      </c>
      <c r="N6" s="11" t="s">
        <v>2</v>
      </c>
      <c r="O6" s="4" t="s">
        <v>1</v>
      </c>
      <c r="P6" s="10"/>
    </row>
    <row r="7" spans="1:16" ht="18.75">
      <c r="A7" s="14">
        <v>1</v>
      </c>
      <c r="B7" s="27" t="s">
        <v>20</v>
      </c>
      <c r="C7" s="28" t="s">
        <v>15</v>
      </c>
      <c r="D7" s="31">
        <v>42899</v>
      </c>
      <c r="E7" s="20">
        <v>43281</v>
      </c>
      <c r="F7" s="30">
        <v>600</v>
      </c>
      <c r="G7" s="28">
        <v>12</v>
      </c>
      <c r="H7" s="28">
        <v>17</v>
      </c>
      <c r="I7" s="22">
        <f t="shared" ref="I7:I11" si="0">F7/12*G7</f>
        <v>600</v>
      </c>
      <c r="J7" s="22">
        <f t="shared" ref="J7:J11" si="1">F7/12/20.67*H7</f>
        <v>41.122399612965644</v>
      </c>
      <c r="K7" s="22">
        <f t="shared" ref="K7:K11" si="2">I7+J7</f>
        <v>641.12239961296564</v>
      </c>
      <c r="L7" s="21">
        <v>14</v>
      </c>
      <c r="M7" s="23">
        <f t="shared" ref="M7:M11" si="3">(F7/20.67)*L7</f>
        <v>406.38606676342522</v>
      </c>
      <c r="N7" s="23">
        <f t="shared" ref="N7:N11" si="4">SUM(K7+M7)</f>
        <v>1047.508466376391</v>
      </c>
      <c r="O7" s="9">
        <f>N7</f>
        <v>1047.508466376391</v>
      </c>
    </row>
    <row r="8" spans="1:16" ht="18.75">
      <c r="A8" s="14">
        <v>2</v>
      </c>
      <c r="B8" s="27" t="s">
        <v>21</v>
      </c>
      <c r="C8" s="29" t="s">
        <v>19</v>
      </c>
      <c r="D8" s="31">
        <v>42919</v>
      </c>
      <c r="E8" s="20">
        <v>43281</v>
      </c>
      <c r="F8" s="30">
        <v>300</v>
      </c>
      <c r="G8" s="28">
        <v>11</v>
      </c>
      <c r="H8" s="28">
        <v>27</v>
      </c>
      <c r="I8" s="22">
        <f t="shared" si="0"/>
        <v>275</v>
      </c>
      <c r="J8" s="22">
        <f t="shared" si="1"/>
        <v>32.656023222060952</v>
      </c>
      <c r="K8" s="22">
        <f t="shared" si="2"/>
        <v>307.65602322206098</v>
      </c>
      <c r="L8" s="21">
        <v>14</v>
      </c>
      <c r="M8" s="23">
        <f t="shared" si="3"/>
        <v>203.19303338171261</v>
      </c>
      <c r="N8" s="23">
        <f t="shared" si="4"/>
        <v>510.84905660377359</v>
      </c>
      <c r="O8" s="9">
        <f t="shared" ref="O8:O11" si="5">N8</f>
        <v>510.84905660377359</v>
      </c>
    </row>
    <row r="9" spans="1:16" ht="18.75">
      <c r="A9" s="24">
        <v>3</v>
      </c>
      <c r="B9" s="27" t="s">
        <v>22</v>
      </c>
      <c r="C9" s="29" t="s">
        <v>25</v>
      </c>
      <c r="D9" s="32">
        <v>42843</v>
      </c>
      <c r="E9" s="20">
        <v>43281</v>
      </c>
      <c r="F9" s="30">
        <v>600</v>
      </c>
      <c r="G9" s="28">
        <v>14</v>
      </c>
      <c r="H9" s="28">
        <v>12</v>
      </c>
      <c r="I9" s="22">
        <f t="shared" si="0"/>
        <v>700</v>
      </c>
      <c r="J9" s="22">
        <f t="shared" si="1"/>
        <v>29.027576197387514</v>
      </c>
      <c r="K9" s="22">
        <f t="shared" si="2"/>
        <v>729.02757619738748</v>
      </c>
      <c r="L9" s="25">
        <v>14</v>
      </c>
      <c r="M9" s="23">
        <f t="shared" si="3"/>
        <v>406.38606676342522</v>
      </c>
      <c r="N9" s="23">
        <f t="shared" si="4"/>
        <v>1135.4136429608127</v>
      </c>
      <c r="O9" s="9">
        <f t="shared" si="5"/>
        <v>1135.4136429608127</v>
      </c>
    </row>
    <row r="10" spans="1:16" ht="18.75">
      <c r="A10" s="24">
        <v>4</v>
      </c>
      <c r="B10" s="27" t="s">
        <v>23</v>
      </c>
      <c r="C10" s="29" t="s">
        <v>26</v>
      </c>
      <c r="D10" s="31">
        <v>42795</v>
      </c>
      <c r="E10" s="20">
        <v>43281</v>
      </c>
      <c r="F10" s="30">
        <v>300</v>
      </c>
      <c r="G10" s="28">
        <v>15</v>
      </c>
      <c r="H10" s="28">
        <v>29</v>
      </c>
      <c r="I10" s="22">
        <f t="shared" si="0"/>
        <v>375</v>
      </c>
      <c r="J10" s="22">
        <f t="shared" si="1"/>
        <v>35.074987905176577</v>
      </c>
      <c r="K10" s="22">
        <f t="shared" si="2"/>
        <v>410.07498790517656</v>
      </c>
      <c r="L10" s="25">
        <v>14</v>
      </c>
      <c r="M10" s="23">
        <f t="shared" si="3"/>
        <v>203.19303338171261</v>
      </c>
      <c r="N10" s="23">
        <f t="shared" si="4"/>
        <v>613.26802128688917</v>
      </c>
      <c r="O10" s="9">
        <f t="shared" si="5"/>
        <v>613.26802128688917</v>
      </c>
    </row>
    <row r="11" spans="1:16" ht="18.75">
      <c r="A11" s="26">
        <v>5</v>
      </c>
      <c r="B11" s="27" t="s">
        <v>24</v>
      </c>
      <c r="C11" s="29" t="s">
        <v>19</v>
      </c>
      <c r="D11" s="33">
        <v>42836</v>
      </c>
      <c r="E11" s="20">
        <v>43281</v>
      </c>
      <c r="F11" s="30">
        <v>300</v>
      </c>
      <c r="G11" s="28">
        <v>14</v>
      </c>
      <c r="H11" s="28">
        <v>19</v>
      </c>
      <c r="I11" s="22">
        <f t="shared" si="0"/>
        <v>350</v>
      </c>
      <c r="J11" s="22">
        <f t="shared" si="1"/>
        <v>22.980164489598447</v>
      </c>
      <c r="K11" s="22">
        <f t="shared" si="2"/>
        <v>372.98016448959845</v>
      </c>
      <c r="L11" s="26">
        <v>14</v>
      </c>
      <c r="M11" s="23">
        <f t="shared" si="3"/>
        <v>203.19303338171261</v>
      </c>
      <c r="N11" s="23">
        <f t="shared" si="4"/>
        <v>576.173197871311</v>
      </c>
      <c r="O11" s="9">
        <f t="shared" si="5"/>
        <v>576.173197871311</v>
      </c>
    </row>
    <row r="12" spans="1:16" ht="20.25">
      <c r="A12" s="1"/>
      <c r="B12" s="1"/>
      <c r="C12" s="1"/>
      <c r="D12" s="1"/>
      <c r="E12" s="2"/>
      <c r="F12" s="3"/>
      <c r="G12" s="2"/>
      <c r="H12" s="3"/>
      <c r="I12" s="5">
        <f t="shared" ref="I12:O12" si="6">SUM(I7:I11)</f>
        <v>2300</v>
      </c>
      <c r="J12" s="6">
        <f t="shared" si="6"/>
        <v>160.86115142718913</v>
      </c>
      <c r="K12" s="7">
        <f t="shared" si="6"/>
        <v>2460.8611514271888</v>
      </c>
      <c r="L12" s="5">
        <f t="shared" si="6"/>
        <v>70</v>
      </c>
      <c r="M12" s="8">
        <f t="shared" si="6"/>
        <v>1422.3512336719882</v>
      </c>
      <c r="N12" s="8">
        <f t="shared" si="6"/>
        <v>3883.212385099177</v>
      </c>
      <c r="O12" s="8">
        <f t="shared" si="6"/>
        <v>3883.212385099177</v>
      </c>
    </row>
  </sheetData>
  <mergeCells count="1">
    <mergeCell ref="A5:J5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redundancy payments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David@laborpowerltd</cp:lastModifiedBy>
  <cp:lastPrinted>2018-05-29T10:08:27Z</cp:lastPrinted>
  <dcterms:created xsi:type="dcterms:W3CDTF">2018-02-27T11:14:00Z</dcterms:created>
  <dcterms:modified xsi:type="dcterms:W3CDTF">2018-09-04T16:02:55Z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2052-10.1.0.7311</vt:lpwstr>
  </property>
  <property fmtid="{D5CDD505-2E9C-101B-9397-08002B2CF9AE}" pid="3" name="KSOReadingLayout">
    <vt:bool>true</vt:bool>
  </property>
</Properties>
</file>